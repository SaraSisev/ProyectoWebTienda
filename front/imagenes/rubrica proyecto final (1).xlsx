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nue\Downloads\"/>
    </mc:Choice>
  </mc:AlternateContent>
  <xr:revisionPtr revIDLastSave="0" documentId="13_ncr:1_{1D1B0D85-80AA-42A6-B562-A0E1C18A92C3}" xr6:coauthVersionLast="47" xr6:coauthVersionMax="47" xr10:uidLastSave="{00000000-0000-0000-0000-000000000000}"/>
  <bookViews>
    <workbookView xWindow="-108" yWindow="-108" windowWidth="23256" windowHeight="12456" xr2:uid="{B3EEF229-7B7E-4B25-AC5A-68690DBFA0D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4" i="1" l="1"/>
  <c r="B108" i="1" s="1"/>
  <c r="B21" i="1"/>
  <c r="B22" i="1" s="1"/>
  <c r="B23" i="1" s="1"/>
  <c r="B24" i="1" s="1"/>
  <c r="B25" i="1" s="1"/>
  <c r="B26" i="1" s="1"/>
  <c r="B27" i="1" s="1"/>
  <c r="B28" i="1" s="1"/>
  <c r="B29" i="1" s="1"/>
  <c r="B30" i="1" s="1"/>
  <c r="E169" i="1"/>
  <c r="D176" i="1" s="1"/>
  <c r="D102" i="1"/>
  <c r="E102" i="1"/>
  <c r="D175" i="1" s="1"/>
  <c r="B43" i="1"/>
  <c r="B44" i="1" s="1"/>
  <c r="B45" i="1" s="1"/>
  <c r="B46" i="1" s="1"/>
  <c r="B47" i="1" s="1"/>
  <c r="B48" i="1" s="1"/>
  <c r="B49" i="1" s="1"/>
  <c r="B50" i="1" s="1"/>
  <c r="B51" i="1" s="1"/>
  <c r="B52" i="1" s="1"/>
  <c r="B53" i="1" s="1"/>
  <c r="B54" i="1" s="1"/>
  <c r="B55" i="1" s="1"/>
  <c r="B56" i="1" s="1"/>
  <c r="B59" i="1" l="1"/>
  <c r="B60" i="1" s="1"/>
  <c r="B61" i="1" s="1"/>
  <c r="B62" i="1" s="1"/>
  <c r="B63" i="1" s="1"/>
  <c r="B64" i="1" s="1"/>
  <c r="B65" i="1" s="1"/>
  <c r="B66" i="1" s="1"/>
  <c r="B67" i="1" s="1"/>
  <c r="B68" i="1" s="1"/>
  <c r="B69" i="1" s="1"/>
  <c r="B70" i="1" s="1"/>
  <c r="B109" i="1"/>
  <c r="B110" i="1" s="1"/>
  <c r="B111" i="1" s="1"/>
  <c r="B112" i="1" s="1"/>
  <c r="B113" i="1" s="1"/>
  <c r="B114" i="1" s="1"/>
  <c r="B115" i="1" s="1"/>
  <c r="D177" i="1"/>
  <c r="B73" i="1" l="1"/>
  <c r="B74" i="1" s="1"/>
  <c r="B76" i="1" s="1"/>
  <c r="B77" i="1" s="1"/>
  <c r="B78" i="1" s="1"/>
  <c r="B117" i="1"/>
  <c r="B119" i="1" s="1"/>
  <c r="B121" i="1" s="1"/>
  <c r="B123" i="1" s="1"/>
  <c r="B124" i="1" s="1"/>
  <c r="B80" i="1" l="1"/>
  <c r="B81" i="1" s="1"/>
  <c r="B82" i="1" s="1"/>
  <c r="B83" i="1" s="1"/>
  <c r="B84" i="1" s="1"/>
  <c r="B85" i="1" s="1"/>
  <c r="B86" i="1" s="1"/>
  <c r="B87" i="1" s="1"/>
  <c r="B88" i="1" s="1"/>
  <c r="B89" i="1" s="1"/>
  <c r="B90" i="1" s="1"/>
  <c r="B91" i="1" s="1"/>
  <c r="B92" i="1" s="1"/>
  <c r="B93" i="1" s="1"/>
  <c r="B94" i="1" s="1"/>
  <c r="B95" i="1" s="1"/>
  <c r="B96" i="1" s="1"/>
  <c r="B97" i="1" s="1"/>
  <c r="B126" i="1"/>
  <c r="B133" i="1" s="1"/>
  <c r="B138" i="1" s="1"/>
  <c r="B141"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alcChain>
</file>

<file path=xl/sharedStrings.xml><?xml version="1.0" encoding="utf-8"?>
<sst xmlns="http://schemas.openxmlformats.org/spreadsheetml/2006/main" count="189" uniqueCount="140">
  <si>
    <t>Chat funcional.</t>
  </si>
  <si>
    <r>
      <t xml:space="preserve">Documentación Swagger disponible en </t>
    </r>
    <r>
      <rPr>
        <sz val="10"/>
        <color theme="1"/>
        <rFont val="Arial Unicode MS"/>
      </rPr>
      <t>/api-docs</t>
    </r>
    <r>
      <rPr>
        <sz val="11"/>
        <color theme="1"/>
        <rFont val="Aptos Narrow"/>
        <family val="2"/>
        <scheme val="minor"/>
      </rPr>
      <t>.</t>
    </r>
  </si>
  <si>
    <t>Interfaz general</t>
  </si>
  <si>
    <t>Realiza login con la cuenta de admin</t>
  </si>
  <si>
    <t>Realiza logout con el admin</t>
  </si>
  <si>
    <t>Muestrame implementación de efectos visuales y transiciones agradables sobre las imágenes de los productos.</t>
  </si>
  <si>
    <t xml:space="preserve"> </t>
  </si>
  <si>
    <r>
      <t xml:space="preserve">Se requiere un nombre para su </t>
    </r>
    <r>
      <rPr>
        <b/>
        <vertAlign val="superscript"/>
        <sz val="11"/>
        <color theme="1"/>
        <rFont val="Aptos"/>
        <family val="2"/>
      </rPr>
      <t>1</t>
    </r>
    <r>
      <rPr>
        <sz val="11"/>
        <color theme="1"/>
        <rFont val="Aptos"/>
        <family val="2"/>
      </rPr>
      <t xml:space="preserve"> tienda, un </t>
    </r>
    <r>
      <rPr>
        <b/>
        <vertAlign val="superscript"/>
        <sz val="11"/>
        <color theme="1"/>
        <rFont val="Aptos"/>
        <family val="2"/>
      </rPr>
      <t>2</t>
    </r>
    <r>
      <rPr>
        <sz val="11"/>
        <color theme="1"/>
        <rFont val="Aptos"/>
        <family val="2"/>
      </rPr>
      <t xml:space="preserve">logotipo y un </t>
    </r>
    <r>
      <rPr>
        <b/>
        <vertAlign val="superscript"/>
        <sz val="11"/>
        <color theme="1"/>
        <rFont val="Aptos"/>
        <family val="2"/>
      </rPr>
      <t>3</t>
    </r>
    <r>
      <rPr>
        <sz val="11"/>
        <color theme="1"/>
        <rFont val="Aptos"/>
        <family val="2"/>
      </rPr>
      <t>lema.</t>
    </r>
  </si>
  <si>
    <r>
      <t xml:space="preserve">Muestrame que funcionan los filtros en tu sitio,  </t>
    </r>
    <r>
      <rPr>
        <b/>
        <vertAlign val="superscript"/>
        <sz val="12"/>
        <color theme="1"/>
        <rFont val="Aptos Narrow"/>
        <family val="2"/>
        <scheme val="minor"/>
      </rPr>
      <t>1</t>
    </r>
    <r>
      <rPr>
        <sz val="12"/>
        <color theme="1"/>
        <rFont val="Aptos Narrow"/>
        <family val="2"/>
        <scheme val="minor"/>
      </rPr>
      <t xml:space="preserve">categoría, </t>
    </r>
    <r>
      <rPr>
        <b/>
        <vertAlign val="superscript"/>
        <sz val="12"/>
        <color theme="1"/>
        <rFont val="Aptos Narrow"/>
        <family val="2"/>
        <scheme val="minor"/>
      </rPr>
      <t>2</t>
    </r>
    <r>
      <rPr>
        <sz val="12"/>
        <color theme="1"/>
        <rFont val="Aptos Narrow"/>
        <family val="2"/>
        <scheme val="minor"/>
      </rPr>
      <t xml:space="preserve">rango de precios y </t>
    </r>
    <r>
      <rPr>
        <b/>
        <vertAlign val="superscript"/>
        <sz val="12"/>
        <color theme="1"/>
        <rFont val="Aptos Narrow"/>
        <family val="2"/>
        <scheme val="minor"/>
      </rPr>
      <t>3</t>
    </r>
    <r>
      <rPr>
        <sz val="12"/>
        <color theme="1"/>
        <rFont val="Aptos Narrow"/>
        <family val="2"/>
        <scheme val="minor"/>
      </rPr>
      <t>productos en oferta.</t>
    </r>
  </si>
  <si>
    <t>Muestrame el manejo  de al menos una red social (hacen una para su tienda)</t>
  </si>
  <si>
    <t>Muestrame que en tus paginas del sitio existe consistencia usando el mismo  header y footer ¿Qué informacion muestras en el header y footer? ¿En el footer incluyes el texto que se "trata de un proyecto academico"?</t>
  </si>
  <si>
    <t>Usuarios y autenticación</t>
  </si>
  <si>
    <t>Cuando el admin se loguea su cuenta, ¿ la vista muestra quien esta logueado?</t>
  </si>
  <si>
    <r>
      <t xml:space="preserve">Formulario de registro con validaciones en el cliente (campos requeridos). Incluir en el formulario de registro </t>
    </r>
    <r>
      <rPr>
        <b/>
        <sz val="11"/>
        <color theme="1"/>
        <rFont val="Aptos"/>
        <family val="2"/>
      </rPr>
      <t>la doble captura de contraseña</t>
    </r>
    <r>
      <rPr>
        <sz val="11"/>
        <color theme="1"/>
        <rFont val="Aptos"/>
        <family val="2"/>
      </rPr>
      <t xml:space="preserve">.  Los campos a considerar en el registro son decisión del equipo, para cubrir todos los requerimientos de este proyecto. </t>
    </r>
    <r>
      <rPr>
        <b/>
        <sz val="11"/>
        <color rgb="FF00B050"/>
        <rFont val="Aptos"/>
        <family val="2"/>
      </rPr>
      <t xml:space="preserve">Para probar este punto </t>
    </r>
    <r>
      <rPr>
        <b/>
        <vertAlign val="superscript"/>
        <sz val="11"/>
        <rFont val="Aptos"/>
        <family val="2"/>
      </rPr>
      <t>1</t>
    </r>
    <r>
      <rPr>
        <b/>
        <sz val="11"/>
        <color rgb="FF00B050"/>
        <rFont val="Aptos"/>
        <family val="2"/>
      </rPr>
      <t>REGISTRAR un usuario,</t>
    </r>
    <r>
      <rPr>
        <b/>
        <vertAlign val="superscript"/>
        <sz val="11"/>
        <rFont val="Aptos"/>
        <family val="2"/>
      </rPr>
      <t xml:space="preserve"> 2</t>
    </r>
    <r>
      <rPr>
        <b/>
        <sz val="11"/>
        <color rgb="FF00B050"/>
        <rFont val="Aptos"/>
        <family val="2"/>
      </rPr>
      <t xml:space="preserve">probar equivocandote en la doble captura del password. Mostrarme que todos los campos son </t>
    </r>
    <r>
      <rPr>
        <b/>
        <vertAlign val="superscript"/>
        <sz val="11"/>
        <rFont val="Aptos"/>
        <family val="2"/>
      </rPr>
      <t>3</t>
    </r>
    <r>
      <rPr>
        <b/>
        <sz val="11"/>
        <color rgb="FF00B050"/>
        <rFont val="Aptos"/>
        <family val="2"/>
      </rPr>
      <t xml:space="preserve">requeridos. Mostrarme cuales </t>
    </r>
    <r>
      <rPr>
        <b/>
        <vertAlign val="superscript"/>
        <sz val="11"/>
        <rFont val="Aptos"/>
        <family val="2"/>
      </rPr>
      <t>4</t>
    </r>
    <r>
      <rPr>
        <b/>
        <sz val="11"/>
        <color rgb="FF00B050"/>
        <rFont val="Aptos"/>
        <family val="2"/>
      </rPr>
      <t xml:space="preserve">mensaje de retroalimentacion manejan en el registro de Usuarios. Posteriorme </t>
    </r>
    <r>
      <rPr>
        <b/>
        <vertAlign val="superscript"/>
        <sz val="11"/>
        <rFont val="Aptos"/>
        <family val="2"/>
      </rPr>
      <t>5</t>
    </r>
    <r>
      <rPr>
        <b/>
        <sz val="11"/>
        <color rgb="FF00B050"/>
        <rFont val="Aptos"/>
        <family val="2"/>
      </rPr>
      <t xml:space="preserve">hacer login y </t>
    </r>
    <r>
      <rPr>
        <b/>
        <vertAlign val="superscript"/>
        <sz val="11"/>
        <rFont val="Aptos"/>
        <family val="2"/>
      </rPr>
      <t>6</t>
    </r>
    <r>
      <rPr>
        <b/>
        <sz val="11"/>
        <color rgb="FF00B050"/>
        <rFont val="Aptos"/>
        <family val="2"/>
      </rPr>
      <t xml:space="preserve">logout con el usuario recien creado. </t>
    </r>
    <r>
      <rPr>
        <sz val="11"/>
        <color theme="1"/>
        <rFont val="Aptos"/>
        <family val="2"/>
      </rPr>
      <t>Para darte la puntuacion completa muestrame los 6 puntos que te pido</t>
    </r>
  </si>
  <si>
    <r>
      <t xml:space="preserve">Considerar la opción </t>
    </r>
    <r>
      <rPr>
        <b/>
        <i/>
        <u/>
        <sz val="11"/>
        <color theme="1"/>
        <rFont val="Aptos"/>
        <family val="2"/>
      </rPr>
      <t>olvidaste tu contraseña</t>
    </r>
    <r>
      <rPr>
        <b/>
        <i/>
        <sz val="11"/>
        <color theme="1"/>
        <rFont val="Aptos"/>
        <family val="2"/>
      </rPr>
      <t xml:space="preserve">. </t>
    </r>
    <r>
      <rPr>
        <sz val="11"/>
        <color theme="1"/>
        <rFont val="Aptos"/>
        <family val="2"/>
      </rPr>
      <t xml:space="preserve">La lógica de este procedimiento la diseñan en equipo, involucra directamente procesamiento en el back e interacción con el front. </t>
    </r>
    <r>
      <rPr>
        <b/>
        <sz val="11"/>
        <color rgb="FF00B050"/>
        <rFont val="Aptos"/>
        <family val="2"/>
      </rPr>
      <t>Muestrame el funcionamiento de esta opcion.</t>
    </r>
  </si>
  <si>
    <r>
      <t xml:space="preserve">Debes manejar </t>
    </r>
    <r>
      <rPr>
        <b/>
        <sz val="11"/>
        <color rgb="FF196B24"/>
        <rFont val="Aptos"/>
        <family val="2"/>
      </rPr>
      <t>retroalimentación en todo momento, usando mensajes claros de lo que está pasando</t>
    </r>
    <r>
      <rPr>
        <sz val="11"/>
        <color theme="1"/>
        <rFont val="Aptos"/>
        <family val="2"/>
      </rPr>
      <t xml:space="preserve">. Ejemplos: Bienvenido al sistema, Error en tus credenciales, Contraseñas no coinciden (para el registro), Cuenta bloqueada, Favor de hacer login (para los casos de agregar productos al carrito de compras) y demás mensajes que creen una buena experiencia al usuario. Todos estos mensajes deben ser con librerías js para manejo de alerts. </t>
    </r>
    <r>
      <rPr>
        <b/>
        <sz val="11"/>
        <color rgb="FF00B050"/>
        <rFont val="Aptos"/>
        <family val="2"/>
      </rPr>
      <t>Consideras que en su totalidad cubriste todos los posibles mensajes de retroalimentacion para tu usuario durante el desarrollo del sistema. Si consideras que si, te das la puntacion completa sino una parte proporcional.</t>
    </r>
  </si>
  <si>
    <t>Suscripción y descuentos</t>
  </si>
  <si>
    <r>
      <t xml:space="preserve">Manejo de suscripción, enviándole un correo electrónico con un </t>
    </r>
    <r>
      <rPr>
        <b/>
        <vertAlign val="superscript"/>
        <sz val="12"/>
        <color theme="1"/>
        <rFont val="Aptos Narrow"/>
        <family val="2"/>
        <scheme val="minor"/>
      </rPr>
      <t>1</t>
    </r>
    <r>
      <rPr>
        <sz val="12"/>
        <color theme="1"/>
        <rFont val="Aptos Narrow"/>
        <family val="2"/>
        <scheme val="minor"/>
      </rPr>
      <t xml:space="preserve">texto que ustedes decidan y un </t>
    </r>
    <r>
      <rPr>
        <b/>
        <vertAlign val="superscript"/>
        <sz val="12"/>
        <color theme="1"/>
        <rFont val="Aptos Narrow"/>
        <family val="2"/>
        <scheme val="minor"/>
      </rPr>
      <t>2</t>
    </r>
    <r>
      <rPr>
        <sz val="12"/>
        <color theme="1"/>
        <rFont val="Aptos Narrow"/>
        <family val="2"/>
        <scheme val="minor"/>
      </rPr>
      <t xml:space="preserve">cupón de compra (se espera un bonito cupon de compra), incluir en el correo el </t>
    </r>
    <r>
      <rPr>
        <b/>
        <vertAlign val="superscript"/>
        <sz val="12"/>
        <color theme="1"/>
        <rFont val="Aptos Narrow"/>
        <family val="2"/>
        <scheme val="minor"/>
      </rPr>
      <t>3</t>
    </r>
    <r>
      <rPr>
        <sz val="12"/>
        <color theme="1"/>
        <rFont val="Aptos Narrow"/>
        <family val="2"/>
        <scheme val="minor"/>
      </rPr>
      <t xml:space="preserve">nombre de la empresa,  </t>
    </r>
    <r>
      <rPr>
        <b/>
        <vertAlign val="superscript"/>
        <sz val="12"/>
        <color theme="1"/>
        <rFont val="Aptos Narrow"/>
        <family val="2"/>
        <scheme val="minor"/>
      </rPr>
      <t>4</t>
    </r>
    <r>
      <rPr>
        <sz val="12"/>
        <color theme="1"/>
        <rFont val="Aptos Narrow"/>
        <family val="2"/>
        <scheme val="minor"/>
      </rPr>
      <t xml:space="preserve">logo y </t>
    </r>
    <r>
      <rPr>
        <b/>
        <vertAlign val="superscript"/>
        <sz val="12"/>
        <color theme="1"/>
        <rFont val="Aptos Narrow"/>
        <family val="2"/>
        <scheme val="minor"/>
      </rPr>
      <t>5</t>
    </r>
    <r>
      <rPr>
        <sz val="12"/>
        <color theme="1"/>
        <rFont val="Aptos Narrow"/>
        <family val="2"/>
        <scheme val="minor"/>
      </rPr>
      <t xml:space="preserve">lema. Muestrame que esta opcion funciona en tu sitio y abre el correo que recibiste y muestrame la informacion que te pedi incluir (los 4 puntos que te indico) </t>
    </r>
    <r>
      <rPr>
        <b/>
        <sz val="12"/>
        <color theme="1"/>
        <rFont val="Aptos Narrow"/>
        <family val="2"/>
        <scheme val="minor"/>
      </rPr>
      <t>Necesito validar durante el video la fecha del correo que llego, con la fecha de tu computadora</t>
    </r>
  </si>
  <si>
    <t>Carrito de compra</t>
  </si>
  <si>
    <t>Muestrame que si un usuario NO esta logueado NO puede agregar productos al carrito</t>
  </si>
  <si>
    <t>Realiza login con un usuario</t>
  </si>
  <si>
    <t>Tu interfaz presenta un icono de  carrito de compra que refleje el total de artículos agregados.</t>
  </si>
  <si>
    <t>Agrega al carrito de compra 6 productos usando productos de las diferentes categorias.</t>
  </si>
  <si>
    <t>Dar clic en el icono del carrito de compra. ¿Es posible visualizar los productos seleccionados con cantidad, precio unitario y subtotal?</t>
  </si>
  <si>
    <t>Finalizar compra</t>
  </si>
  <si>
    <r>
      <t xml:space="preserve">El impuesto y gastos de envió dependen del país. Esta parte decídanla ustedes, pero el usuario debe poder elegir su país. </t>
    </r>
    <r>
      <rPr>
        <b/>
        <sz val="11"/>
        <color theme="1"/>
        <rFont val="Aptos"/>
        <family val="2"/>
      </rPr>
      <t>Muestrame esta parte en tu sistema</t>
    </r>
  </si>
  <si>
    <r>
      <t xml:space="preserve">Formulario para llenar los datos del envío (nombre, dirección, ciudad, código postal, teléfono, etc.).  </t>
    </r>
    <r>
      <rPr>
        <b/>
        <sz val="11"/>
        <color rgb="FF00B050"/>
        <rFont val="Aptos"/>
        <family val="2"/>
      </rPr>
      <t>Muestrame este formulario.</t>
    </r>
  </si>
  <si>
    <r>
      <t xml:space="preserve">Simulación de métodos de pago:  tarjeta, transferencia y  oxxo.   La forma de pago no será funcional, pero al menos considera los datos que se deben pedir en cada una. Revisa paginas reales para que consideres los datos que se piden en cada opción que te solicito. </t>
    </r>
    <r>
      <rPr>
        <b/>
        <sz val="11"/>
        <color rgb="FF00B050"/>
        <rFont val="Aptos"/>
        <family val="2"/>
      </rPr>
      <t>Muestrame el funcionamiento de esta parte, cada uno de los metodos</t>
    </r>
    <r>
      <rPr>
        <sz val="11"/>
        <color theme="1"/>
        <rFont val="Aptos"/>
        <family val="2"/>
      </rPr>
      <t xml:space="preserve">. </t>
    </r>
  </si>
  <si>
    <r>
      <t xml:space="preserve">Al finalizar la compra, el sistema deberá generar una </t>
    </r>
    <r>
      <rPr>
        <b/>
        <sz val="11"/>
        <color theme="1"/>
        <rFont val="Aptos"/>
        <family val="2"/>
      </rPr>
      <t xml:space="preserve">nota de compra </t>
    </r>
    <r>
      <rPr>
        <sz val="11"/>
        <color theme="1"/>
        <rFont val="Aptos"/>
        <family val="2"/>
      </rPr>
      <t>que el cliente</t>
    </r>
    <r>
      <rPr>
        <b/>
        <sz val="11"/>
        <color theme="1"/>
        <rFont val="Aptos"/>
        <family val="2"/>
      </rPr>
      <t xml:space="preserve"> reciba por correo electrónico</t>
    </r>
    <r>
      <rPr>
        <sz val="11"/>
        <color theme="1"/>
        <rFont val="Aptos"/>
        <family val="2"/>
      </rPr>
      <t xml:space="preserve"> (en formato PDF). Retroalimentación con un mensaje </t>
    </r>
    <r>
      <rPr>
        <b/>
        <vertAlign val="superscript"/>
        <sz val="11"/>
        <color theme="1"/>
        <rFont val="Aptos"/>
        <family val="2"/>
      </rPr>
      <t>1</t>
    </r>
    <r>
      <rPr>
        <sz val="11"/>
        <color theme="1"/>
        <rFont val="Aptos"/>
        <family val="2"/>
      </rPr>
      <t xml:space="preserve">“Compra finalizada” </t>
    </r>
    <r>
      <rPr>
        <b/>
        <vertAlign val="superscript"/>
        <sz val="11"/>
        <color theme="1"/>
        <rFont val="Aptos"/>
        <family val="2"/>
      </rPr>
      <t>2</t>
    </r>
    <r>
      <rPr>
        <sz val="11"/>
        <color theme="1"/>
        <rFont val="Aptos"/>
        <family val="2"/>
      </rPr>
      <t xml:space="preserve">“La nota se envió a tu correo electrónico”    </t>
    </r>
    <r>
      <rPr>
        <b/>
        <sz val="11"/>
        <color rgb="FF00B050"/>
        <rFont val="Aptos"/>
        <family val="2"/>
      </rPr>
      <t>Muestrame los dos mensajes y que esta opcion funciona abriendo el correo que recibiste y muestrame el pdf que te llego, abres el pdf y me enseñas que  incluye datos de la compañía (</t>
    </r>
    <r>
      <rPr>
        <b/>
        <vertAlign val="superscript"/>
        <sz val="11"/>
        <color rgb="FF00B050"/>
        <rFont val="Aptos"/>
        <family val="2"/>
      </rPr>
      <t>1</t>
    </r>
    <r>
      <rPr>
        <b/>
        <sz val="11"/>
        <color rgb="FF00B050"/>
        <rFont val="Aptos"/>
        <family val="2"/>
      </rPr>
      <t xml:space="preserve">nombre, </t>
    </r>
    <r>
      <rPr>
        <b/>
        <vertAlign val="superscript"/>
        <sz val="11"/>
        <color rgb="FF00B050"/>
        <rFont val="Aptos"/>
        <family val="2"/>
      </rPr>
      <t>2</t>
    </r>
    <r>
      <rPr>
        <b/>
        <sz val="11"/>
        <color rgb="FF00B050"/>
        <rFont val="Aptos"/>
        <family val="2"/>
      </rPr>
      <t xml:space="preserve">logo, </t>
    </r>
    <r>
      <rPr>
        <b/>
        <vertAlign val="superscript"/>
        <sz val="11"/>
        <color rgb="FF00B050"/>
        <rFont val="Aptos"/>
        <family val="2"/>
      </rPr>
      <t>3</t>
    </r>
    <r>
      <rPr>
        <b/>
        <sz val="11"/>
        <color rgb="FF00B050"/>
        <rFont val="Aptos"/>
        <family val="2"/>
      </rPr>
      <t xml:space="preserve">lema), </t>
    </r>
    <r>
      <rPr>
        <b/>
        <vertAlign val="superscript"/>
        <sz val="11"/>
        <color rgb="FF00B050"/>
        <rFont val="Aptos"/>
        <family val="2"/>
      </rPr>
      <t>4</t>
    </r>
    <r>
      <rPr>
        <b/>
        <sz val="11"/>
        <color rgb="FF00B050"/>
        <rFont val="Aptos"/>
        <family val="2"/>
      </rPr>
      <t xml:space="preserve">fecha, </t>
    </r>
    <r>
      <rPr>
        <b/>
        <vertAlign val="superscript"/>
        <sz val="11"/>
        <color rgb="FF00B050"/>
        <rFont val="Aptos"/>
        <family val="2"/>
      </rPr>
      <t>5</t>
    </r>
    <r>
      <rPr>
        <b/>
        <sz val="11"/>
        <color rgb="FF00B050"/>
        <rFont val="Aptos"/>
        <family val="2"/>
      </rPr>
      <t xml:space="preserve">hora, </t>
    </r>
    <r>
      <rPr>
        <b/>
        <vertAlign val="superscript"/>
        <sz val="11"/>
        <color rgb="FF00B050"/>
        <rFont val="Aptos"/>
        <family val="2"/>
      </rPr>
      <t>6</t>
    </r>
    <r>
      <rPr>
        <b/>
        <sz val="11"/>
        <color rgb="FF00B050"/>
        <rFont val="Aptos"/>
        <family val="2"/>
      </rPr>
      <t>el nombre del cliente (</t>
    </r>
    <r>
      <rPr>
        <b/>
        <u/>
        <sz val="11"/>
        <color rgb="FF00B050"/>
        <rFont val="Aptos"/>
        <family val="2"/>
      </rPr>
      <t>no su cuenta</t>
    </r>
    <r>
      <rPr>
        <b/>
        <sz val="11"/>
        <color rgb="FF00B050"/>
        <rFont val="Aptos"/>
        <family val="2"/>
      </rPr>
      <t xml:space="preserve">) </t>
    </r>
    <r>
      <rPr>
        <b/>
        <vertAlign val="superscript"/>
        <sz val="11"/>
        <color rgb="FF00B050"/>
        <rFont val="Aptos"/>
        <family val="2"/>
      </rPr>
      <t>7</t>
    </r>
    <r>
      <rPr>
        <b/>
        <sz val="11"/>
        <color rgb="FF00B050"/>
        <rFont val="Aptos"/>
        <family val="2"/>
      </rPr>
      <t>los datos de lo que compro (información del carrito de compra) y los detalles del cobro:</t>
    </r>
    <r>
      <rPr>
        <b/>
        <vertAlign val="superscript"/>
        <sz val="11"/>
        <color rgb="FF00B050"/>
        <rFont val="Aptos"/>
        <family val="2"/>
      </rPr>
      <t xml:space="preserve"> 8</t>
    </r>
    <r>
      <rPr>
        <b/>
        <sz val="11"/>
        <color rgb="FF00B050"/>
        <rFont val="Aptos"/>
        <family val="2"/>
      </rPr>
      <t xml:space="preserve">subtotal, </t>
    </r>
    <r>
      <rPr>
        <b/>
        <vertAlign val="superscript"/>
        <sz val="11"/>
        <color rgb="FF00B050"/>
        <rFont val="Aptos"/>
        <family val="2"/>
      </rPr>
      <t>9</t>
    </r>
    <r>
      <rPr>
        <b/>
        <sz val="11"/>
        <color rgb="FF00B050"/>
        <rFont val="Aptos"/>
        <family val="2"/>
      </rPr>
      <t>impuestos,</t>
    </r>
    <r>
      <rPr>
        <b/>
        <vertAlign val="superscript"/>
        <sz val="11"/>
        <color rgb="FF00B050"/>
        <rFont val="Aptos"/>
        <family val="2"/>
      </rPr>
      <t>10</t>
    </r>
    <r>
      <rPr>
        <b/>
        <sz val="11"/>
        <color rgb="FF00B050"/>
        <rFont val="Aptos"/>
        <family val="2"/>
      </rPr>
      <t xml:space="preserve">gastos de envío, </t>
    </r>
    <r>
      <rPr>
        <b/>
        <vertAlign val="superscript"/>
        <sz val="11"/>
        <color rgb="FF00B050"/>
        <rFont val="Aptos"/>
        <family val="2"/>
      </rPr>
      <t>11</t>
    </r>
    <r>
      <rPr>
        <b/>
        <sz val="11"/>
        <color rgb="FF00B050"/>
        <rFont val="Aptos"/>
        <family val="2"/>
      </rPr>
      <t xml:space="preserve">cupón de compra si aplica, </t>
    </r>
    <r>
      <rPr>
        <b/>
        <vertAlign val="superscript"/>
        <sz val="11"/>
        <color rgb="FF00B050"/>
        <rFont val="Aptos"/>
        <family val="2"/>
      </rPr>
      <t>12</t>
    </r>
    <r>
      <rPr>
        <b/>
        <sz val="11"/>
        <color rgb="FF00B050"/>
        <rFont val="Aptos"/>
        <family val="2"/>
      </rPr>
      <t>total general.</t>
    </r>
    <r>
      <rPr>
        <sz val="11"/>
        <color theme="1"/>
        <rFont val="Aptos"/>
        <family val="2"/>
      </rPr>
      <t xml:space="preserve">  </t>
    </r>
    <r>
      <rPr>
        <b/>
        <sz val="11"/>
        <color theme="1"/>
        <rFont val="Aptos"/>
        <family val="2"/>
      </rPr>
      <t>Necesito validar durante el video la fecha del correo que llego, con la fecha de tu computadora.</t>
    </r>
    <r>
      <rPr>
        <sz val="11"/>
        <color theme="1"/>
        <rFont val="Aptos"/>
        <family val="2"/>
      </rPr>
      <t xml:space="preserve"> Solo que tengas todo lo que pido te das puntuacion completa SINO la parte proporcional.</t>
    </r>
  </si>
  <si>
    <t>Accesibilidad</t>
  </si>
  <si>
    <t>Tu sitio incluye un icono de accesibilidad (a la vista)</t>
  </si>
  <si>
    <r>
      <t xml:space="preserve">(contraste) Modo claro/oscuro funcional. </t>
    </r>
    <r>
      <rPr>
        <b/>
        <sz val="11"/>
        <color rgb="FF00B050"/>
        <rFont val="Aptos Narrow"/>
        <family val="2"/>
        <scheme val="minor"/>
      </rPr>
      <t>Muestrame que funciona</t>
    </r>
  </si>
  <si>
    <r>
      <t xml:space="preserve">Importante </t>
    </r>
    <r>
      <rPr>
        <b/>
        <sz val="11"/>
        <color theme="1"/>
        <rFont val="Aptos"/>
        <family val="2"/>
      </rPr>
      <t>disminuye</t>
    </r>
    <r>
      <rPr>
        <sz val="11"/>
        <color theme="1"/>
        <rFont val="Aptos"/>
        <family val="2"/>
      </rPr>
      <t xml:space="preserve"> del inventario los productos vendidos. Muestrame el ANTES y el DESPUES de una compra como en la vista se actualiza el stock o inventario de los productos vendidos. Si por algo no muestras este dato en la vista de la tienda, entonces muestramelo directamente en la base de datos como se actualizo</t>
    </r>
  </si>
  <si>
    <r>
      <t xml:space="preserve">Control de tamaño de texto. </t>
    </r>
    <r>
      <rPr>
        <b/>
        <vertAlign val="superscript"/>
        <sz val="11"/>
        <color theme="1"/>
        <rFont val="Aptos Narrow"/>
        <family val="2"/>
        <scheme val="minor"/>
      </rPr>
      <t>1</t>
    </r>
    <r>
      <rPr>
        <b/>
        <sz val="11"/>
        <color theme="1"/>
        <rFont val="Aptos Narrow"/>
        <family val="2"/>
        <scheme val="minor"/>
      </rPr>
      <t>aumentar</t>
    </r>
    <r>
      <rPr>
        <sz val="11"/>
        <color theme="1"/>
        <rFont val="Aptos Narrow"/>
        <family val="2"/>
        <scheme val="minor"/>
      </rPr>
      <t xml:space="preserve"> o </t>
    </r>
    <r>
      <rPr>
        <b/>
        <vertAlign val="superscript"/>
        <sz val="11"/>
        <color theme="1"/>
        <rFont val="Aptos Narrow"/>
        <family val="2"/>
        <scheme val="minor"/>
      </rPr>
      <t>2</t>
    </r>
    <r>
      <rPr>
        <b/>
        <sz val="11"/>
        <color theme="1"/>
        <rFont val="Aptos Narrow"/>
        <family val="2"/>
        <scheme val="minor"/>
      </rPr>
      <t>reducir</t>
    </r>
    <r>
      <rPr>
        <sz val="11"/>
        <color theme="1"/>
        <rFont val="Aptos Narrow"/>
        <family val="2"/>
        <scheme val="minor"/>
      </rPr>
      <t xml:space="preserve"> el tamaño de las fuentes  (títulos, párrafos y botones )</t>
    </r>
    <r>
      <rPr>
        <sz val="11"/>
        <color theme="1"/>
        <rFont val="Aptos"/>
        <family val="2"/>
      </rPr>
      <t>.</t>
    </r>
    <r>
      <rPr>
        <b/>
        <sz val="11"/>
        <color rgb="FF00B050"/>
        <rFont val="Aptos"/>
        <family val="2"/>
      </rPr>
      <t xml:space="preserve"> Muestrame que funciona</t>
    </r>
  </si>
  <si>
    <r>
      <t xml:space="preserve">Ajustes persistentes con localStorage. </t>
    </r>
    <r>
      <rPr>
        <b/>
        <sz val="11"/>
        <color rgb="FF00B050"/>
        <rFont val="Aptos"/>
        <family val="2"/>
      </rPr>
      <t xml:space="preserve">Muestrame como un usuario logueado puede </t>
    </r>
    <r>
      <rPr>
        <b/>
        <vertAlign val="superscript"/>
        <sz val="11"/>
        <rFont val="Aptos"/>
        <family val="2"/>
      </rPr>
      <t>1</t>
    </r>
    <r>
      <rPr>
        <b/>
        <sz val="11"/>
        <color rgb="FF00B050"/>
        <rFont val="Aptos"/>
        <family val="2"/>
      </rPr>
      <t xml:space="preserve">usar estas opciones, </t>
    </r>
    <r>
      <rPr>
        <b/>
        <vertAlign val="superscript"/>
        <sz val="11"/>
        <rFont val="Aptos"/>
        <family val="2"/>
      </rPr>
      <t>2</t>
    </r>
    <r>
      <rPr>
        <b/>
        <sz val="11"/>
        <color rgb="FF00B050"/>
        <rFont val="Aptos"/>
        <family val="2"/>
      </rPr>
      <t xml:space="preserve">despues haces logout. </t>
    </r>
    <r>
      <rPr>
        <b/>
        <vertAlign val="superscript"/>
        <sz val="11"/>
        <rFont val="Aptos"/>
        <family val="2"/>
      </rPr>
      <t>3</t>
    </r>
    <r>
      <rPr>
        <b/>
        <sz val="11"/>
        <color rgb="FF00B050"/>
        <rFont val="Aptos"/>
        <family val="2"/>
      </rPr>
      <t xml:space="preserve">Entra con otro usuario para ver los estilos normales del sitio, </t>
    </r>
    <r>
      <rPr>
        <b/>
        <vertAlign val="superscript"/>
        <sz val="11"/>
        <rFont val="Aptos"/>
        <family val="2"/>
      </rPr>
      <t>4</t>
    </r>
    <r>
      <rPr>
        <b/>
        <sz val="11"/>
        <color rgb="FF00B050"/>
        <rFont val="Aptos"/>
        <family val="2"/>
      </rPr>
      <t xml:space="preserve">realizar logout, y </t>
    </r>
    <r>
      <rPr>
        <b/>
        <vertAlign val="superscript"/>
        <sz val="11"/>
        <rFont val="Aptos"/>
        <family val="2"/>
      </rPr>
      <t>5</t>
    </r>
    <r>
      <rPr>
        <b/>
        <sz val="11"/>
        <color rgb="FF00B050"/>
        <rFont val="Aptos"/>
        <family val="2"/>
      </rPr>
      <t>ahora entra con el usuario que habia hecho ajustes para revisar que el sistema toma los valores del localstorage y los aplica en la vista</t>
    </r>
  </si>
  <si>
    <t>Lista de deseos por usuario con persistencia</t>
  </si>
  <si>
    <r>
      <rPr>
        <b/>
        <sz val="11"/>
        <color theme="1"/>
        <rFont val="Aptos Narrow"/>
        <family val="2"/>
        <scheme val="minor"/>
      </rPr>
      <t>API’s de Productos y Categorías</t>
    </r>
    <r>
      <rPr>
        <sz val="11"/>
        <color theme="1"/>
        <rFont val="Aptos Narrow"/>
        <family val="2"/>
        <scheme val="minor"/>
      </rPr>
      <t xml:space="preserve"> (ejemplo: obtener productos por categoria, detalle de algun producto en especial,  para el manejo de filtros, para el CRUD del admin a los productos)</t>
    </r>
  </si>
  <si>
    <r>
      <rPr>
        <b/>
        <sz val="11"/>
        <color theme="1"/>
        <rFont val="Aptos Narrow"/>
        <family val="2"/>
        <scheme val="minor"/>
      </rPr>
      <t>API’s del Carrito</t>
    </r>
    <r>
      <rPr>
        <sz val="11"/>
        <color theme="1"/>
        <rFont val="Aptos Narrow"/>
        <family val="2"/>
        <scheme val="minor"/>
      </rPr>
      <t xml:space="preserve"> (ejemplo: ver carrito, agregar productos, modificar cantidades, eliminar producto, aplicar cupon, etc.)</t>
    </r>
  </si>
  <si>
    <r>
      <rPr>
        <b/>
        <sz val="11"/>
        <color theme="1"/>
        <rFont val="Aptos Narrow"/>
        <family val="2"/>
        <scheme val="minor"/>
      </rPr>
      <t>API’s del Proceso de Compra</t>
    </r>
    <r>
      <rPr>
        <sz val="11"/>
        <color theme="1"/>
        <rFont val="Aptos Narrow"/>
        <family val="2"/>
        <scheme val="minor"/>
      </rPr>
      <t xml:space="preserve"> (Ejemplo:  procesar compra, generar orden, guardar total de nota, enviar pdf etc.)</t>
    </r>
  </si>
  <si>
    <r>
      <rPr>
        <b/>
        <sz val="11"/>
        <color theme="1"/>
        <rFont val="Aptos Narrow"/>
        <family val="2"/>
        <scheme val="minor"/>
      </rPr>
      <t>API’s de Suscripción y Contacto</t>
    </r>
    <r>
      <rPr>
        <sz val="11"/>
        <color theme="1"/>
        <rFont val="Aptos Narrow"/>
        <family val="2"/>
        <scheme val="minor"/>
      </rPr>
      <t>(Ejemplo: subscripcion, contacto, cupon)</t>
    </r>
  </si>
  <si>
    <r>
      <rPr>
        <b/>
        <sz val="11"/>
        <color theme="1"/>
        <rFont val="Aptos Narrow"/>
        <family val="2"/>
        <scheme val="minor"/>
      </rPr>
      <t xml:space="preserve">API’s del Panel del Administrador </t>
    </r>
    <r>
      <rPr>
        <sz val="11"/>
        <color theme="1"/>
        <rFont val="Aptos Narrow"/>
        <family val="2"/>
        <scheme val="minor"/>
      </rPr>
      <t>(Ejemplo: reporte total de ventas, inventario por categoria,  grafica de ventas)</t>
    </r>
  </si>
  <si>
    <t>Muestrame y explicame en el back las API's utilizadas para los siguientes fines:</t>
  </si>
  <si>
    <r>
      <t xml:space="preserve">Voy a revisar toda este punto de la redaccion del proyecto final. </t>
    </r>
    <r>
      <rPr>
        <sz val="11"/>
        <color theme="1"/>
        <rFont val="Aptos Narrow"/>
        <family val="2"/>
      </rPr>
      <t xml:space="preserve"> </t>
    </r>
    <r>
      <rPr>
        <sz val="12"/>
        <color theme="1"/>
        <rFont val="Aptos Narrow"/>
        <family val="2"/>
      </rPr>
      <t>En todo momento el administrador puede agregar, eliminar o actualizar datos de los productos, entonces todo es totalmente dinámico. Por ejemplo: Si una categoría que empezó con 8 productos, el admin agrega 4 productos más, entonces la próxima vez que consultes deben salir los 12 productos en dicha categoría. Productos que elimine el admin ya no deben salir en la vista y productos a los que haga cambios en algun campo,  en la vista se verán actualizados.</t>
    </r>
  </si>
  <si>
    <t>Muestrame la estructura de directorio del proyecto de back  que cumples con lo siguiente:</t>
  </si>
  <si>
    <t>Muestrame codigo de tu front donde se pueda validar lo siguiente:</t>
  </si>
  <si>
    <t>Abrir el pdf y mostrarme los siguientes puntos.</t>
  </si>
  <si>
    <r>
      <rPr>
        <b/>
        <sz val="11"/>
        <color theme="1"/>
        <rFont val="Aptos Narrow"/>
        <family val="2"/>
        <scheme val="minor"/>
      </rPr>
      <t>API’s de Autenticación y Usuarios</t>
    </r>
    <r>
      <rPr>
        <sz val="11"/>
        <color theme="1"/>
        <rFont val="Aptos Narrow"/>
        <family val="2"/>
        <scheme val="minor"/>
      </rPr>
      <t xml:space="preserve"> (Ejemplos: registro, inicio de sesion,  cerrar sesion,  captcha, etc)</t>
    </r>
  </si>
  <si>
    <t>Muestrame y explicame la estructura del proyecto de front (minimo carpeta js, carpeta css)</t>
  </si>
  <si>
    <r>
      <t xml:space="preserve">Conexión con Base de Datos. Para cubrir los puntos de la imagen. </t>
    </r>
    <r>
      <rPr>
        <b/>
        <sz val="11"/>
        <color rgb="FF00B050"/>
        <rFont val="Aptos Narrow"/>
        <family val="2"/>
        <scheme val="minor"/>
      </rPr>
      <t xml:space="preserve">Muestrame tu </t>
    </r>
    <r>
      <rPr>
        <b/>
        <vertAlign val="superscript"/>
        <sz val="11"/>
        <color theme="1"/>
        <rFont val="Aptos Narrow"/>
        <family val="2"/>
        <scheme val="minor"/>
      </rPr>
      <t>1</t>
    </r>
    <r>
      <rPr>
        <b/>
        <sz val="11"/>
        <color rgb="FF00B050"/>
        <rFont val="Aptos Narrow"/>
        <family val="2"/>
        <scheme val="minor"/>
      </rPr>
      <t xml:space="preserve">bd y tus </t>
    </r>
    <r>
      <rPr>
        <b/>
        <vertAlign val="superscript"/>
        <sz val="11"/>
        <color theme="1"/>
        <rFont val="Aptos Narrow"/>
        <family val="2"/>
        <scheme val="minor"/>
      </rPr>
      <t>2</t>
    </r>
    <r>
      <rPr>
        <b/>
        <sz val="11"/>
        <color rgb="FF00B050"/>
        <rFont val="Aptos Narrow"/>
        <family val="2"/>
        <scheme val="minor"/>
      </rPr>
      <t xml:space="preserve"> tablas, sus </t>
    </r>
    <r>
      <rPr>
        <b/>
        <vertAlign val="superscript"/>
        <sz val="11"/>
        <color theme="1"/>
        <rFont val="Aptos Narrow"/>
        <family val="2"/>
        <scheme val="minor"/>
      </rPr>
      <t>3</t>
    </r>
    <r>
      <rPr>
        <b/>
        <sz val="11"/>
        <color rgb="FF00B050"/>
        <rFont val="Aptos Narrow"/>
        <family val="2"/>
        <scheme val="minor"/>
      </rPr>
      <t xml:space="preserve">campos, los </t>
    </r>
    <r>
      <rPr>
        <b/>
        <vertAlign val="superscript"/>
        <sz val="11"/>
        <color theme="1"/>
        <rFont val="Aptos Narrow"/>
        <family val="2"/>
        <scheme val="minor"/>
      </rPr>
      <t>4</t>
    </r>
    <r>
      <rPr>
        <b/>
        <sz val="11"/>
        <color rgb="FF00B050"/>
        <rFont val="Aptos Narrow"/>
        <family val="2"/>
        <scheme val="minor"/>
      </rPr>
      <t xml:space="preserve">registros que estan almacenados. Muestrame en codigo en tu proyecto de back la </t>
    </r>
    <r>
      <rPr>
        <b/>
        <vertAlign val="superscript"/>
        <sz val="11"/>
        <color theme="1"/>
        <rFont val="Aptos Narrow"/>
        <family val="2"/>
        <scheme val="minor"/>
      </rPr>
      <t>5</t>
    </r>
    <r>
      <rPr>
        <b/>
        <sz val="11"/>
        <color rgb="FF00B050"/>
        <rFont val="Aptos Narrow"/>
        <family val="2"/>
        <scheme val="minor"/>
      </rPr>
      <t xml:space="preserve">conexión a la BD y el </t>
    </r>
    <r>
      <rPr>
        <b/>
        <vertAlign val="superscript"/>
        <sz val="11"/>
        <color theme="1"/>
        <rFont val="Aptos Narrow"/>
        <family val="2"/>
        <scheme val="minor"/>
      </rPr>
      <t>6</t>
    </r>
    <r>
      <rPr>
        <b/>
        <sz val="11"/>
        <color rgb="FF00B050"/>
        <rFont val="Aptos Narrow"/>
        <family val="2"/>
        <scheme val="minor"/>
      </rPr>
      <t>manejo de errores por si no te puedes conectar</t>
    </r>
  </si>
  <si>
    <t>Abrir tu package.json y muestrame y explicame todas las dependencias de tu proyecto back</t>
  </si>
  <si>
    <r>
      <t xml:space="preserve">Entra al panel de control donde te dan el servicio de hosting del </t>
    </r>
    <r>
      <rPr>
        <b/>
        <sz val="11"/>
        <color theme="1"/>
        <rFont val="Aptos Narrow"/>
        <family val="2"/>
        <scheme val="minor"/>
      </rPr>
      <t xml:space="preserve">front </t>
    </r>
    <r>
      <rPr>
        <sz val="11"/>
        <color theme="1"/>
        <rFont val="Aptos Narrow"/>
        <family val="2"/>
        <scheme val="minor"/>
      </rPr>
      <t>y explicame lo que configuraste para el funcionamiento del deploy</t>
    </r>
  </si>
  <si>
    <r>
      <t xml:space="preserve">Entra al panel de control donde te dan el servicio de hosting del </t>
    </r>
    <r>
      <rPr>
        <b/>
        <sz val="11"/>
        <color theme="1"/>
        <rFont val="Aptos Narrow"/>
        <family val="2"/>
        <scheme val="minor"/>
      </rPr>
      <t xml:space="preserve">back </t>
    </r>
    <r>
      <rPr>
        <sz val="11"/>
        <color theme="1"/>
        <rFont val="Aptos Narrow"/>
        <family val="2"/>
        <scheme val="minor"/>
      </rPr>
      <t>y explicame lo que configuraste para el funcionamiento del deploy</t>
    </r>
  </si>
  <si>
    <r>
      <t>1.</t>
    </r>
    <r>
      <rPr>
        <sz val="7"/>
        <color theme="1"/>
        <rFont val="Times New Roman"/>
        <family val="1"/>
      </rPr>
      <t xml:space="preserve">      </t>
    </r>
    <r>
      <rPr>
        <sz val="11"/>
        <color theme="1"/>
        <rFont val="Aptos"/>
        <family val="2"/>
      </rPr>
      <t>En la portada donde indiquen los nombres de los integrantes, colocar a un lado quien fue el líder, integrador, arquitecto del sistema y a su vez el rol que desempeño cada uno front-back-fullstack</t>
    </r>
  </si>
  <si>
    <r>
      <t>2.</t>
    </r>
    <r>
      <rPr>
        <sz val="7"/>
        <color theme="1"/>
        <rFont val="Times New Roman"/>
        <family val="1"/>
      </rPr>
      <t xml:space="preserve">      </t>
    </r>
    <r>
      <rPr>
        <sz val="11"/>
        <color theme="1"/>
        <rFont val="Aptos"/>
        <family val="2"/>
      </rPr>
      <t>Nombre, logotipo y lema de su tienda</t>
    </r>
  </si>
  <si>
    <r>
      <t>3.</t>
    </r>
    <r>
      <rPr>
        <sz val="7"/>
        <color theme="1"/>
        <rFont val="Times New Roman"/>
        <family val="1"/>
      </rPr>
      <t xml:space="preserve">      </t>
    </r>
    <r>
      <rPr>
        <sz val="11"/>
        <color theme="1"/>
        <rFont val="Aptos"/>
        <family val="2"/>
      </rPr>
      <t>Categorías de productos que venden</t>
    </r>
  </si>
  <si>
    <r>
      <t>4.</t>
    </r>
    <r>
      <rPr>
        <sz val="7"/>
        <color theme="1"/>
        <rFont val="Times New Roman"/>
        <family val="1"/>
      </rPr>
      <t xml:space="preserve">      </t>
    </r>
    <r>
      <rPr>
        <sz val="11"/>
        <color theme="1"/>
        <rFont val="Aptos"/>
        <family val="2"/>
      </rPr>
      <t>Incluye cuenta y contraseña del admin</t>
    </r>
  </si>
  <si>
    <r>
      <t>5.</t>
    </r>
    <r>
      <rPr>
        <sz val="7"/>
        <color theme="1"/>
        <rFont val="Times New Roman"/>
        <family val="1"/>
      </rPr>
      <t xml:space="preserve">      </t>
    </r>
    <r>
      <rPr>
        <sz val="11"/>
        <color theme="1"/>
        <rFont val="Aptos"/>
        <family val="2"/>
      </rPr>
      <t>Incluye cuenta y contraseña de tres usuarios</t>
    </r>
  </si>
  <si>
    <r>
      <t>6.</t>
    </r>
    <r>
      <rPr>
        <sz val="7"/>
        <color theme="1"/>
        <rFont val="Times New Roman"/>
        <family val="1"/>
      </rPr>
      <t xml:space="preserve">      </t>
    </r>
    <r>
      <rPr>
        <sz val="11"/>
        <color theme="1"/>
        <rFont val="Aptos"/>
        <family val="2"/>
      </rPr>
      <t xml:space="preserve">Descripción del hosting utilizado para el back  </t>
    </r>
  </si>
  <si>
    <r>
      <t>7.</t>
    </r>
    <r>
      <rPr>
        <sz val="7"/>
        <color theme="1"/>
        <rFont val="Times New Roman"/>
        <family val="1"/>
      </rPr>
      <t xml:space="preserve">      </t>
    </r>
    <r>
      <rPr>
        <sz val="11"/>
        <color theme="1"/>
        <rFont val="Aptos"/>
        <family val="2"/>
      </rPr>
      <t xml:space="preserve">En el contexto del back, resumen de lo que tuvieron que configurar tanto en el hosting    como en su proyecto, para que el deploy fuera exitoso, incluida la explicación para hacer funcionar la BD en el hosting. </t>
    </r>
    <r>
      <rPr>
        <sz val="11"/>
        <color rgb="FF00B050"/>
        <rFont val="Aptos"/>
        <family val="2"/>
      </rPr>
      <t>SI NO TE FUNCIONO el deploy  pero hiciste el intento, explicame el intento, entra al panel de administracion y explica  todo lo que configuraste y  te puedes eliminar la puntuacion negativa</t>
    </r>
  </si>
  <si>
    <r>
      <t>8.</t>
    </r>
    <r>
      <rPr>
        <sz val="7"/>
        <color theme="1"/>
        <rFont val="Times New Roman"/>
        <family val="1"/>
      </rPr>
      <t xml:space="preserve">      </t>
    </r>
    <r>
      <rPr>
        <sz val="11"/>
        <color theme="1"/>
        <rFont val="Aptos"/>
        <family val="2"/>
      </rPr>
      <t xml:space="preserve">Descripción del hosting utilizado para el front  </t>
    </r>
  </si>
  <si>
    <r>
      <t>10.</t>
    </r>
    <r>
      <rPr>
        <sz val="7"/>
        <color theme="1"/>
        <rFont val="Times New Roman"/>
        <family val="1"/>
      </rPr>
      <t xml:space="preserve">      </t>
    </r>
    <r>
      <rPr>
        <sz val="11"/>
        <color theme="1"/>
        <rFont val="Aptos"/>
        <family val="2"/>
      </rPr>
      <t>En una tabla presentar el listado de API’s del back   (ruta-endpoint y descripción)</t>
    </r>
  </si>
  <si>
    <r>
      <t xml:space="preserve">11.Enlace a la descarga de los proyectos de </t>
    </r>
    <r>
      <rPr>
        <b/>
        <sz val="11"/>
        <color theme="1"/>
        <rFont val="Aptos"/>
        <family val="2"/>
      </rPr>
      <t>back y front</t>
    </r>
    <r>
      <rPr>
        <sz val="11"/>
        <color theme="1"/>
        <rFont val="Aptos"/>
        <family val="2"/>
      </rPr>
      <t xml:space="preserve">  de </t>
    </r>
    <r>
      <rPr>
        <b/>
        <sz val="11"/>
        <color theme="1"/>
        <rFont val="Aptos"/>
        <family val="2"/>
      </rPr>
      <t>Git Hub. Nota</t>
    </r>
    <r>
      <rPr>
        <sz val="11"/>
        <color theme="1"/>
        <rFont val="Aptos"/>
        <family val="2"/>
      </rPr>
      <t>. Dejen público el repositorio para NO tener problemas en la revisión</t>
    </r>
  </si>
  <si>
    <r>
      <t xml:space="preserve">12. </t>
    </r>
    <r>
      <rPr>
        <sz val="11"/>
        <color theme="1"/>
        <rFont val="Aptos"/>
        <family val="2"/>
      </rPr>
      <t xml:space="preserve">Enlace a tablero de Trello o similar (debo estar incluida). Deben dejar evidencia de todo el trabajo </t>
    </r>
    <r>
      <rPr>
        <u/>
        <sz val="11"/>
        <color rgb="FFFF0000"/>
        <rFont val="Aptos"/>
        <family val="2"/>
      </rPr>
      <t>realizado por cada uno</t>
    </r>
    <r>
      <rPr>
        <sz val="11"/>
        <color theme="1"/>
        <rFont val="Aptos"/>
        <family val="2"/>
      </rPr>
      <t xml:space="preserve">. </t>
    </r>
    <r>
      <rPr>
        <b/>
        <sz val="11"/>
        <color theme="1"/>
        <rFont val="Aptos"/>
        <family val="2"/>
      </rPr>
      <t xml:space="preserve">NO borren nada, voy a revisar. </t>
    </r>
    <r>
      <rPr>
        <sz val="11"/>
        <color theme="1"/>
        <rFont val="Aptos"/>
        <family val="2"/>
      </rPr>
      <t xml:space="preserve">Descontare calificación sino aparece todo el equipo con actividades en el tablero. </t>
    </r>
    <r>
      <rPr>
        <b/>
        <sz val="11"/>
        <color theme="1"/>
        <rFont val="Aptos"/>
        <family val="2"/>
      </rPr>
      <t>Aquí ustedes me indican como trabajaron si hay un tablero para que integrante o si solo es un tablero con tareas asignadas, pero en cada tarea es muy claro a quien le toco.</t>
    </r>
  </si>
  <si>
    <r>
      <rPr>
        <sz val="11"/>
        <color theme="1"/>
        <rFont val="Aptos Display"/>
        <family val="2"/>
        <scheme val="major"/>
      </rPr>
      <t>13.     </t>
    </r>
    <r>
      <rPr>
        <sz val="7"/>
        <color theme="1"/>
        <rFont val="Times New Roman"/>
        <family val="1"/>
      </rPr>
      <t xml:space="preserve"> </t>
    </r>
    <r>
      <rPr>
        <sz val="11"/>
        <color theme="1"/>
        <rFont val="Aptos"/>
        <family val="2"/>
      </rPr>
      <t xml:space="preserve">Imagen del grupo de trabajo en Trello </t>
    </r>
    <r>
      <rPr>
        <sz val="11"/>
        <color rgb="FFFF0000"/>
        <rFont val="Aptos"/>
        <family val="2"/>
      </rPr>
      <t>quiero identificarlos bien en la foto</t>
    </r>
    <r>
      <rPr>
        <sz val="11"/>
        <color theme="1"/>
        <rFont val="Aptos"/>
        <family val="2"/>
      </rPr>
      <t xml:space="preserve">.  </t>
    </r>
  </si>
  <si>
    <r>
      <t>14.</t>
    </r>
    <r>
      <rPr>
        <sz val="7"/>
        <color theme="1"/>
        <rFont val="Times New Roman"/>
        <family val="1"/>
      </rPr>
      <t xml:space="preserve">   </t>
    </r>
    <r>
      <rPr>
        <sz val="11"/>
        <color theme="1"/>
        <rFont val="Aptos"/>
        <family val="2"/>
      </rPr>
      <t>Enlace al grupo de trabajo en Git Hub al que me invitaron. Incluir una imagen de setting-collaborators donde estén todos los integrantes del equipo y yo, debo identificarlos bien, no quiero nombres raros o que no sepa de quien son las cuentas.</t>
    </r>
  </si>
  <si>
    <r>
      <t>16.</t>
    </r>
    <r>
      <rPr>
        <sz val="7"/>
        <color theme="1"/>
        <rFont val="Times New Roman"/>
        <family val="1"/>
      </rPr>
      <t xml:space="preserve">   </t>
    </r>
    <r>
      <rPr>
        <sz val="11"/>
        <color theme="1"/>
        <rFont val="Aptos"/>
        <family val="2"/>
      </rPr>
      <t xml:space="preserve">Enlace a video de revisión de </t>
    </r>
    <r>
      <rPr>
        <b/>
        <sz val="11"/>
        <color theme="1"/>
        <rFont val="Aptos"/>
        <family val="2"/>
      </rPr>
      <t>cliente-servidor</t>
    </r>
    <r>
      <rPr>
        <sz val="11"/>
        <color theme="1"/>
        <rFont val="Aptos"/>
        <family val="2"/>
      </rPr>
      <t xml:space="preserve"> de tu proyecto. Incluir link de respaldo</t>
    </r>
  </si>
  <si>
    <r>
      <t>17.</t>
    </r>
    <r>
      <rPr>
        <sz val="7"/>
        <color theme="1"/>
        <rFont val="Times New Roman"/>
        <family val="1"/>
      </rPr>
      <t xml:space="preserve">  </t>
    </r>
    <r>
      <rPr>
        <sz val="11"/>
        <color theme="1"/>
        <rFont val="Aptos"/>
        <family val="2"/>
      </rPr>
      <t xml:space="preserve">Imágenes de commits  en GITHUB desarrollados por cada integrante del equipo. Me puedes dar   las graficas de commits   o imágenes de los commits de cada integrante. Esto lo puedes encontrar en insights-contribuitors. (Se espera ver commits de todos los integrantes </t>
    </r>
    <r>
      <rPr>
        <b/>
        <sz val="11"/>
        <color rgb="FFFF0000"/>
        <rFont val="Aptos"/>
        <family val="2"/>
      </rPr>
      <t>y no de última hora todos</t>
    </r>
    <r>
      <rPr>
        <sz val="11"/>
        <color theme="1"/>
        <rFont val="Aptos"/>
        <family val="2"/>
      </rPr>
      <t>)</t>
    </r>
  </si>
  <si>
    <r>
      <t>18.</t>
    </r>
    <r>
      <rPr>
        <sz val="7"/>
        <color theme="1"/>
        <rFont val="Times New Roman"/>
        <family val="1"/>
      </rPr>
      <t xml:space="preserve">  </t>
    </r>
    <r>
      <rPr>
        <sz val="11"/>
        <color theme="1"/>
        <rFont val="Aptos"/>
        <family val="2"/>
      </rPr>
      <t>Conclusiones del curso en general y de hacer este proyecto final.</t>
    </r>
  </si>
  <si>
    <r>
      <t>19.</t>
    </r>
    <r>
      <rPr>
        <sz val="7"/>
        <color theme="1"/>
        <rFont val="Times New Roman"/>
        <family val="1"/>
      </rPr>
      <t xml:space="preserve">    </t>
    </r>
    <r>
      <rPr>
        <sz val="11"/>
        <color theme="1"/>
        <rFont val="Aptos"/>
        <family val="2"/>
      </rPr>
      <t xml:space="preserve">Imágenes del proyecto COMPLETO incluidos mensajes de retroalimentación. Hago notar este punto porque varios equipos no me pusieron todas las imágenes de su sistema del segundo parcial (“sitio de certificaciones”). </t>
    </r>
    <r>
      <rPr>
        <sz val="11"/>
        <color rgb="FFFF0000"/>
        <rFont val="Aptos"/>
        <family val="2"/>
      </rPr>
      <t>Bajare calificación por no cumplir completo este punto y también bajare puntuación por presentar imágenes BORROSAS Y CORTADAS</t>
    </r>
  </si>
  <si>
    <r>
      <t xml:space="preserve">Muestrame la  funcionalidad del carrito de compras de </t>
    </r>
    <r>
      <rPr>
        <b/>
        <vertAlign val="superscript"/>
        <sz val="11"/>
        <color theme="1"/>
        <rFont val="Aptos"/>
        <family val="2"/>
      </rPr>
      <t>1</t>
    </r>
    <r>
      <rPr>
        <sz val="11"/>
        <color theme="1"/>
        <rFont val="Aptos"/>
        <family val="2"/>
      </rPr>
      <t xml:space="preserve">modificar cantidades y </t>
    </r>
    <r>
      <rPr>
        <b/>
        <vertAlign val="superscript"/>
        <sz val="11"/>
        <color theme="1"/>
        <rFont val="Aptos"/>
        <family val="2"/>
      </rPr>
      <t>2</t>
    </r>
    <r>
      <rPr>
        <sz val="11"/>
        <color theme="1"/>
        <rFont val="Aptos"/>
        <family val="2"/>
      </rPr>
      <t>eliminar productos del carrito.</t>
    </r>
  </si>
  <si>
    <r>
      <rPr>
        <b/>
        <sz val="11"/>
        <color theme="1"/>
        <rFont val="Aptos"/>
        <family val="2"/>
      </rPr>
      <t>Aportación extra</t>
    </r>
    <r>
      <rPr>
        <sz val="11"/>
        <color theme="1"/>
        <rFont val="Aptos"/>
        <family val="2"/>
      </rPr>
      <t xml:space="preserve">. </t>
    </r>
    <r>
      <rPr>
        <b/>
        <sz val="11"/>
        <color rgb="FF00B050"/>
        <rFont val="Aptos"/>
        <family val="2"/>
      </rPr>
      <t>Decirme cual aportacion aplicaron en el equipo,</t>
    </r>
    <r>
      <rPr>
        <b/>
        <sz val="11"/>
        <color rgb="FFFF0000"/>
        <rFont val="Aptos"/>
        <family val="2"/>
      </rPr>
      <t xml:space="preserve"> resaltarla con amarillo</t>
    </r>
    <r>
      <rPr>
        <b/>
        <sz val="11"/>
        <color rgb="FF00B050"/>
        <rFont val="Aptos"/>
        <family val="2"/>
      </rPr>
      <t>. Muestrame funcionando tu aportación Y TAMBIEN explicame el codigo involucrado (back  y front).</t>
    </r>
  </si>
  <si>
    <r>
      <t xml:space="preserve">Muestrame en tu sitio el diseño y contenido de la sección de </t>
    </r>
    <r>
      <rPr>
        <b/>
        <vertAlign val="superscript"/>
        <sz val="12"/>
        <color theme="1"/>
        <rFont val="Aptos Narrow"/>
        <family val="2"/>
        <scheme val="minor"/>
      </rPr>
      <t>1</t>
    </r>
    <r>
      <rPr>
        <sz val="12"/>
        <color theme="1"/>
        <rFont val="Aptos Narrow"/>
        <family val="2"/>
        <scheme val="minor"/>
      </rPr>
      <t xml:space="preserve">preguntas frecuentes, de </t>
    </r>
    <r>
      <rPr>
        <b/>
        <vertAlign val="superscript"/>
        <sz val="12"/>
        <color theme="1"/>
        <rFont val="Aptos Narrow"/>
        <family val="2"/>
        <scheme val="minor"/>
      </rPr>
      <t>2</t>
    </r>
    <r>
      <rPr>
        <sz val="12"/>
        <color theme="1"/>
        <rFont val="Aptos Narrow"/>
        <family val="2"/>
        <scheme val="minor"/>
      </rPr>
      <t xml:space="preserve">contáctanos y de </t>
    </r>
    <r>
      <rPr>
        <b/>
        <vertAlign val="superscript"/>
        <sz val="12"/>
        <color theme="1"/>
        <rFont val="Aptos Narrow"/>
        <family val="2"/>
        <scheme val="minor"/>
      </rPr>
      <t>3</t>
    </r>
    <r>
      <rPr>
        <sz val="12"/>
        <color theme="1"/>
        <rFont val="Aptos Narrow"/>
        <family val="2"/>
        <scheme val="minor"/>
      </rPr>
      <t>nosotros (donde se hable de los desarrolladores del sitio)</t>
    </r>
  </si>
  <si>
    <r>
      <rPr>
        <b/>
        <sz val="11"/>
        <color theme="1"/>
        <rFont val="Aptos"/>
        <family val="2"/>
      </rPr>
      <t>Muestrame como se ve la cuenta total a pagar considerando</t>
    </r>
    <r>
      <rPr>
        <sz val="11"/>
        <color theme="1"/>
        <rFont val="Aptos"/>
        <family val="2"/>
      </rPr>
      <t>:    subtotal, impuestos, gastos de envío y</t>
    </r>
    <r>
      <rPr>
        <sz val="11"/>
        <color rgb="FFFF0000"/>
        <rFont val="Aptos"/>
        <family val="2"/>
      </rPr>
      <t xml:space="preserve"> la posibilidad de incluir un cupon de compra</t>
    </r>
    <r>
      <rPr>
        <sz val="11"/>
        <color theme="1"/>
        <rFont val="Aptos"/>
        <family val="2"/>
      </rPr>
      <t xml:space="preserve">.  </t>
    </r>
    <r>
      <rPr>
        <b/>
        <sz val="11"/>
        <color rgb="FF00B050"/>
        <rFont val="Aptos"/>
        <family val="2"/>
      </rPr>
      <t>Muestrame en funcionamiento toda esta parte hasta antes de dar clic en Pagar</t>
    </r>
  </si>
  <si>
    <t>puntos</t>
  </si>
  <si>
    <t>Aquí te calificas</t>
  </si>
  <si>
    <r>
      <t xml:space="preserve">La revisión del proyecto final será totalmente ejecutándose desde el hosting, </t>
    </r>
    <r>
      <rPr>
        <sz val="11"/>
        <color rgb="FFED0000"/>
        <rFont val="Aptos"/>
        <family val="2"/>
      </rPr>
      <t>con una penalización fuerte</t>
    </r>
    <r>
      <rPr>
        <sz val="11"/>
        <color theme="1"/>
        <rFont val="Aptos"/>
        <family val="2"/>
      </rPr>
      <t xml:space="preserve">, si la revisión se tiene que hacer en localhost.  </t>
    </r>
    <r>
      <rPr>
        <b/>
        <sz val="11"/>
        <color rgb="FF00B050"/>
        <rFont val="Aptos"/>
        <family val="2"/>
      </rPr>
      <t>Para que te borres este -10 la revision de la rubrica tiene que ser en línea, SI ME MUESTRAS LA REVISION DE LA RUBRICA EN LOCALHOST, te dejas el -10</t>
    </r>
  </si>
  <si>
    <r>
      <t xml:space="preserve">Incorporar el uso de un captcha en el login.  </t>
    </r>
    <r>
      <rPr>
        <b/>
        <sz val="11"/>
        <color rgb="FF00B050"/>
        <rFont val="Aptos"/>
        <family val="2"/>
      </rPr>
      <t>Muestrame el funcionamiento del captcha, quiero ver dos casos uno cuando lo tecleas bien y otro cuando lo tecleas mal y no te da acceso.</t>
    </r>
    <r>
      <rPr>
        <sz val="11"/>
        <color theme="1"/>
        <rFont val="Aptos"/>
        <family val="2"/>
      </rPr>
      <t xml:space="preserve"> Explicame el codigo (front-back)</t>
    </r>
  </si>
  <si>
    <r>
      <t xml:space="preserve">Inicio de sesión con control de intentos fallidos (bloqueo tras tres intentos incorrectos).  </t>
    </r>
    <r>
      <rPr>
        <b/>
        <i/>
        <sz val="11"/>
        <color theme="1"/>
        <rFont val="Aptos"/>
        <family val="2"/>
      </rPr>
      <t xml:space="preserve"> </t>
    </r>
    <r>
      <rPr>
        <sz val="11"/>
        <color theme="1"/>
        <rFont val="Aptos"/>
        <family val="2"/>
      </rPr>
      <t xml:space="preserve">La cuenta se desbloquea sola al paso de 5 minutos.   </t>
    </r>
    <r>
      <rPr>
        <b/>
        <sz val="11"/>
        <color rgb="FF00B050"/>
        <rFont val="Aptos"/>
        <family val="2"/>
      </rPr>
      <t>Muestrame el funcionamiento de esta parte con algun usuario registrado, quiero ver cuando lo bloqueas y cuando lo desbloqueas.</t>
    </r>
    <r>
      <rPr>
        <sz val="11"/>
        <color theme="1"/>
        <rFont val="Aptos"/>
        <family val="2"/>
      </rPr>
      <t xml:space="preserve"> Explicame el codigo (back-front)</t>
    </r>
  </si>
  <si>
    <t>Calificacion del proyecto final</t>
  </si>
  <si>
    <t>Suma de puntos</t>
  </si>
  <si>
    <t>#1 Tu PUNTACION INTERMEDIA</t>
  </si>
  <si>
    <t>#2 Tu PUNTACION INTERMEDIA</t>
  </si>
  <si>
    <t>CALCULO FINAL</t>
  </si>
  <si>
    <t>Explicame en codigo como se encriptan y desencriptan contraseñas. Muestrame en la bd como se almacenan las contraseñas encriptadas</t>
  </si>
  <si>
    <t>INDICACIONES</t>
  </si>
  <si>
    <t>Integrantes del equipo:</t>
  </si>
  <si>
    <t>PROGRAMACION DE SISTEMAS WEB</t>
  </si>
  <si>
    <t>ISC 5to SEM</t>
  </si>
  <si>
    <t>RUBRICA DE REVISION</t>
  </si>
  <si>
    <t>PROYECTO FINAL (TIENDA EN LINEA)</t>
  </si>
  <si>
    <t>NOVIEMBRE, 2025</t>
  </si>
  <si>
    <r>
      <t xml:space="preserve">Tener  preparados productos para dar de alta </t>
    </r>
    <r>
      <rPr>
        <b/>
        <sz val="11"/>
        <color theme="1"/>
        <rFont val="Aptos Narrow"/>
        <family val="2"/>
        <scheme val="minor"/>
      </rPr>
      <t>en cada categoria</t>
    </r>
  </si>
  <si>
    <t>Muestrame que el video de cliente - servidor esta listo, dale play, dejalo correr unos segundos y recorrelo hasta el final poco a poco.</t>
  </si>
  <si>
    <t>Tener listo el video cliente-servidor antes de empezar a grabar esta rubrica</t>
  </si>
  <si>
    <t>El pdf debe estar listo antes de empezar a grabar esta rubrica</t>
  </si>
  <si>
    <r>
      <t xml:space="preserve">Estudiante que </t>
    </r>
    <r>
      <rPr>
        <b/>
        <sz val="11"/>
        <color theme="1"/>
        <rFont val="Aptos Narrow"/>
        <family val="2"/>
        <scheme val="minor"/>
      </rPr>
      <t>NO</t>
    </r>
    <r>
      <rPr>
        <sz val="11"/>
        <color theme="1"/>
        <rFont val="Aptos Narrow"/>
        <family val="2"/>
        <scheme val="minor"/>
      </rPr>
      <t xml:space="preserve"> participe en el video de la rubrica tiene </t>
    </r>
    <r>
      <rPr>
        <b/>
        <sz val="11"/>
        <color theme="1"/>
        <rFont val="Aptos Narrow"/>
        <family val="2"/>
        <scheme val="minor"/>
      </rPr>
      <t>cero</t>
    </r>
    <r>
      <rPr>
        <sz val="11"/>
        <color theme="1"/>
        <rFont val="Aptos Narrow"/>
        <family val="2"/>
        <scheme val="minor"/>
      </rPr>
      <t xml:space="preserve"> en el proyecto final. No los quiero de adorno en el video.</t>
    </r>
  </si>
  <si>
    <r>
      <t>Obligatoria la asistencia de todos los integrantes del equipo al video de la rubrica</t>
    </r>
    <r>
      <rPr>
        <b/>
        <sz val="11"/>
        <color theme="1"/>
        <rFont val="Aptos Narrow"/>
        <family val="2"/>
        <scheme val="minor"/>
      </rPr>
      <t xml:space="preserve"> CADA QUIEN CONECTADO EN SU EQUIPO,</t>
    </r>
    <r>
      <rPr>
        <sz val="11"/>
        <color theme="1"/>
        <rFont val="Aptos Narrow"/>
        <family val="2"/>
        <scheme val="minor"/>
      </rPr>
      <t xml:space="preserve"> </t>
    </r>
    <r>
      <rPr>
        <u/>
        <sz val="11"/>
        <color theme="1"/>
        <rFont val="Aptos Narrow"/>
        <family val="2"/>
        <scheme val="minor"/>
      </rPr>
      <t>no se permite</t>
    </r>
    <r>
      <rPr>
        <sz val="11"/>
        <color theme="1"/>
        <rFont val="Aptos Narrow"/>
        <family val="2"/>
        <scheme val="minor"/>
      </rPr>
      <t xml:space="preserve"> que todos se asomen a una sola computadora, esto sera </t>
    </r>
    <r>
      <rPr>
        <b/>
        <sz val="11"/>
        <color theme="1"/>
        <rFont val="Aptos Narrow"/>
        <family val="2"/>
        <scheme val="minor"/>
      </rPr>
      <t>penalizado</t>
    </r>
  </si>
  <si>
    <t>Tener ventas previas en tu tablas de base de datos, para poder revisar grafica,  total de ventas de la empresa y reporte de categorias. Asi como tener usuarios y al admin registrados en la tablas.</t>
  </si>
  <si>
    <t>Cada integrante se presenta con camara prendida que se vea su rostro con claridad y hablen fuerte que se escuche su nombre,  despues la pueden apagar</t>
  </si>
  <si>
    <r>
      <rPr>
        <b/>
        <vertAlign val="superscript"/>
        <sz val="11"/>
        <color theme="1"/>
        <rFont val="Aptos Narrow"/>
        <family val="2"/>
        <scheme val="minor"/>
      </rPr>
      <t>1</t>
    </r>
    <r>
      <rPr>
        <sz val="11"/>
        <color theme="1"/>
        <rFont val="Aptos Narrow"/>
        <family val="2"/>
        <scheme val="minor"/>
      </rPr>
      <t>Leer completo cada punto e ir mostrando a pantalla lo solicitado,</t>
    </r>
    <r>
      <rPr>
        <b/>
        <vertAlign val="superscript"/>
        <sz val="11"/>
        <color theme="1"/>
        <rFont val="Aptos Narrow"/>
        <family val="2"/>
        <scheme val="minor"/>
      </rPr>
      <t>2</t>
    </r>
    <r>
      <rPr>
        <sz val="11"/>
        <color theme="1"/>
        <rFont val="Aptos Narrow"/>
        <family val="2"/>
        <scheme val="minor"/>
      </rPr>
      <t>respetar el orden de la rubrica.</t>
    </r>
    <r>
      <rPr>
        <b/>
        <vertAlign val="superscript"/>
        <sz val="11"/>
        <color theme="1"/>
        <rFont val="Aptos Narrow"/>
        <family val="2"/>
        <scheme val="minor"/>
      </rPr>
      <t>3</t>
    </r>
    <r>
      <rPr>
        <sz val="11"/>
        <color theme="1"/>
        <rFont val="Aptos Narrow"/>
        <family val="2"/>
        <scheme val="minor"/>
      </rPr>
      <t xml:space="preserve"> Comenzar el video en el punto 1 de Interfaz General (se entiende que previamente leyeron indicaciones y penalizaciones).</t>
    </r>
    <r>
      <rPr>
        <b/>
        <vertAlign val="superscript"/>
        <sz val="11"/>
        <color theme="1"/>
        <rFont val="Aptos Narrow"/>
        <family val="2"/>
        <scheme val="minor"/>
      </rPr>
      <t>4</t>
    </r>
    <r>
      <rPr>
        <sz val="11"/>
        <color theme="1"/>
        <rFont val="Aptos Narrow"/>
        <family val="2"/>
        <scheme val="minor"/>
      </rPr>
      <t xml:space="preserve"> Debe salir en el video el momento preciso que te colocas la puntuacion (no es permitido llenar con anticipacion la rubrica).</t>
    </r>
  </si>
  <si>
    <t>Para finalizar el video se espera una despedida de cada quien y que me muestren la calificacion de la rubrica, que debe coincidir con el archivo de excel que suban al link de entrega</t>
  </si>
  <si>
    <r>
      <t xml:space="preserve"> La tienda  considera 3 categorias de productos. Muestrame en tu sistema </t>
    </r>
    <r>
      <rPr>
        <b/>
        <vertAlign val="superscript"/>
        <sz val="12"/>
        <color theme="1"/>
        <rFont val="Aptos Narrow"/>
        <family val="2"/>
        <scheme val="minor"/>
      </rPr>
      <t>1</t>
    </r>
    <r>
      <rPr>
        <sz val="12"/>
        <color theme="1"/>
        <rFont val="Aptos Narrow"/>
        <family val="2"/>
        <scheme val="minor"/>
      </rPr>
      <t xml:space="preserve">donde estan esas  categorias,  que cada categoria </t>
    </r>
    <r>
      <rPr>
        <b/>
        <vertAlign val="superscript"/>
        <sz val="12"/>
        <color theme="1"/>
        <rFont val="Aptos Narrow"/>
        <family val="2"/>
        <scheme val="minor"/>
      </rPr>
      <t>2</t>
    </r>
    <r>
      <rPr>
        <sz val="12"/>
        <color theme="1"/>
        <rFont val="Aptos Narrow"/>
        <family val="2"/>
        <scheme val="minor"/>
      </rPr>
      <t xml:space="preserve"> inicia con 8 productos y que </t>
    </r>
    <r>
      <rPr>
        <b/>
        <vertAlign val="superscript"/>
        <sz val="12"/>
        <color theme="1"/>
        <rFont val="Aptos Narrow"/>
        <family val="2"/>
        <scheme val="minor"/>
      </rPr>
      <t>3</t>
    </r>
    <r>
      <rPr>
        <sz val="12"/>
        <color theme="1"/>
        <rFont val="Aptos Narrow"/>
        <family val="2"/>
        <scheme val="minor"/>
      </rPr>
      <t xml:space="preserve">muestras  la </t>
    </r>
    <r>
      <rPr>
        <b/>
        <sz val="12"/>
        <color theme="1"/>
        <rFont val="Aptos Narrow"/>
        <family val="2"/>
        <scheme val="minor"/>
      </rPr>
      <t>imagen, descripción, precio y botón de agregar al carrito</t>
    </r>
  </si>
  <si>
    <r>
      <t xml:space="preserve">Muestrame el funcionamiento de la opción de contáctanos, los mensajes que  lleguen  al back por este medio deben responder con un correo al usuario  indicando que </t>
    </r>
    <r>
      <rPr>
        <b/>
        <vertAlign val="superscript"/>
        <sz val="12"/>
        <color theme="1"/>
        <rFont val="Aptos Narrow"/>
        <family val="2"/>
        <scheme val="minor"/>
      </rPr>
      <t>1</t>
    </r>
    <r>
      <rPr>
        <sz val="12"/>
        <color theme="1"/>
        <rFont val="Aptos Narrow"/>
        <family val="2"/>
        <scheme val="minor"/>
      </rPr>
      <t xml:space="preserve">“En breve será atendido” mostrando </t>
    </r>
    <r>
      <rPr>
        <u/>
        <sz val="12"/>
        <color theme="1"/>
        <rFont val="Aptos Narrow"/>
        <family val="2"/>
        <scheme val="minor"/>
      </rPr>
      <t>en el correo</t>
    </r>
    <r>
      <rPr>
        <sz val="12"/>
        <color theme="1"/>
        <rFont val="Aptos Narrow"/>
        <family val="2"/>
        <scheme val="minor"/>
      </rPr>
      <t xml:space="preserve"> el </t>
    </r>
    <r>
      <rPr>
        <b/>
        <vertAlign val="superscript"/>
        <sz val="12"/>
        <color theme="1"/>
        <rFont val="Aptos Narrow"/>
        <family val="2"/>
        <scheme val="minor"/>
      </rPr>
      <t>2</t>
    </r>
    <r>
      <rPr>
        <sz val="12"/>
        <color theme="1"/>
        <rFont val="Aptos Narrow"/>
        <family val="2"/>
        <scheme val="minor"/>
      </rPr>
      <t xml:space="preserve">nombre de la empresa, </t>
    </r>
    <r>
      <rPr>
        <b/>
        <vertAlign val="superscript"/>
        <sz val="12"/>
        <color theme="1"/>
        <rFont val="Aptos Narrow"/>
        <family val="2"/>
        <scheme val="minor"/>
      </rPr>
      <t>3</t>
    </r>
    <r>
      <rPr>
        <sz val="12"/>
        <color theme="1"/>
        <rFont val="Aptos Narrow"/>
        <family val="2"/>
        <scheme val="minor"/>
      </rPr>
      <t xml:space="preserve">logo y </t>
    </r>
    <r>
      <rPr>
        <b/>
        <vertAlign val="superscript"/>
        <sz val="12"/>
        <color theme="1"/>
        <rFont val="Aptos Narrow"/>
        <family val="2"/>
        <scheme val="minor"/>
      </rPr>
      <t>4</t>
    </r>
    <r>
      <rPr>
        <sz val="12"/>
        <color theme="1"/>
        <rFont val="Aptos Narrow"/>
        <family val="2"/>
        <scheme val="minor"/>
      </rPr>
      <t xml:space="preserve"> lema. </t>
    </r>
    <r>
      <rPr>
        <b/>
        <sz val="12"/>
        <color theme="1"/>
        <rFont val="Aptos Narrow"/>
        <family val="2"/>
        <scheme val="minor"/>
      </rPr>
      <t>Muestrame abriendo el correo del usuario</t>
    </r>
    <r>
      <rPr>
        <sz val="12"/>
        <color theme="1"/>
        <rFont val="Aptos Narrow"/>
        <family val="2"/>
        <scheme val="minor"/>
      </rPr>
      <t xml:space="preserve"> que el correo llego y que tiene el texto e informacion que te pedi  </t>
    </r>
    <r>
      <rPr>
        <b/>
        <sz val="12"/>
        <color theme="1"/>
        <rFont val="Aptos Narrow"/>
        <family val="2"/>
        <scheme val="minor"/>
      </rPr>
      <t>Necesito validar durante el video la fecha del correo que llego, con la fecha de tu computadora</t>
    </r>
  </si>
  <si>
    <r>
      <t xml:space="preserve">Realiza un alta de producto </t>
    </r>
    <r>
      <rPr>
        <b/>
        <sz val="12"/>
        <color theme="1"/>
        <rFont val="Aptos Narrow"/>
        <family val="2"/>
        <scheme val="minor"/>
      </rPr>
      <t xml:space="preserve">en cada una </t>
    </r>
    <r>
      <rPr>
        <sz val="12"/>
        <color theme="1"/>
        <rFont val="Aptos Narrow"/>
        <family val="2"/>
        <scheme val="minor"/>
      </rPr>
      <t>de las categorias y muestrame en la vista que esos productos ya se pueden ver.</t>
    </r>
  </si>
  <si>
    <t>Realiza  la baja de un producto y muestrame en la vista que ya NO aparece</t>
  </si>
  <si>
    <r>
      <t>Procede a realizar cambios a un producto y muestrame en la vista QUE aparecen con los cambios realizados. ¿</t>
    </r>
    <r>
      <rPr>
        <i/>
        <sz val="12"/>
        <color theme="1"/>
        <rFont val="Aptos Narrow"/>
        <family val="2"/>
        <scheme val="minor"/>
      </rPr>
      <t>Puedes cambiar cualquier dato del producto</t>
    </r>
    <r>
      <rPr>
        <sz val="12"/>
        <color theme="1"/>
        <rFont val="Aptos Narrow"/>
        <family val="2"/>
        <scheme val="minor"/>
      </rPr>
      <t xml:space="preserve">? </t>
    </r>
    <r>
      <rPr>
        <b/>
        <sz val="12"/>
        <color theme="1"/>
        <rFont val="Aptos Narrow"/>
        <family val="2"/>
        <scheme val="minor"/>
      </rPr>
      <t>Incluida ¿la imagen?</t>
    </r>
  </si>
  <si>
    <r>
      <t xml:space="preserve">Muestrame la grafica que puede ver el admin. Realizar una venta para ver el </t>
    </r>
    <r>
      <rPr>
        <b/>
        <sz val="12"/>
        <color theme="1"/>
        <rFont val="Aptos Narrow"/>
        <family val="2"/>
        <scheme val="minor"/>
      </rPr>
      <t>antes y el despues</t>
    </r>
    <r>
      <rPr>
        <sz val="12"/>
        <color theme="1"/>
        <rFont val="Aptos Narrow"/>
        <family val="2"/>
        <scheme val="minor"/>
      </rPr>
      <t xml:space="preserve"> de la grafica, demuestrame que es</t>
    </r>
    <r>
      <rPr>
        <sz val="12"/>
        <color rgb="FFFF0000"/>
        <rFont val="Aptos Narrow"/>
        <family val="2"/>
        <scheme val="minor"/>
      </rPr>
      <t xml:space="preserve"> dinamica que toma sus datos de una tabla que esta en constante actualizacion</t>
    </r>
    <r>
      <rPr>
        <sz val="12"/>
        <color theme="1"/>
        <rFont val="Aptos Narrow"/>
        <family val="2"/>
        <scheme val="minor"/>
      </rPr>
      <t>.</t>
    </r>
  </si>
  <si>
    <t xml:space="preserve">Muestrame que el admin puede ver el total de ventas de la compañía. Realizar una venta para ver el antes y el despues, demuestrame que es dinamico que toma sus datos de una tabla que esta en constante actualizacion. </t>
  </si>
  <si>
    <t xml:space="preserve">Muestrame que el admin puede consultar un reporte de existencias por producto en las tres categorías, Realizar una venta para ver el antes y el despues del reporte, demuestrame que es dinamico que toma sus datos de una tabla que esta en constante actualizacion </t>
  </si>
  <si>
    <r>
      <t xml:space="preserve">Muestrame que pasa si el admin coloca un inventario a 0 en algun producto </t>
    </r>
    <r>
      <rPr>
        <b/>
        <sz val="12"/>
        <color theme="1"/>
        <rFont val="Aptos Narrow"/>
        <family val="2"/>
        <scheme val="minor"/>
      </rPr>
      <t>¿como afecta esto a la vista?</t>
    </r>
    <r>
      <rPr>
        <sz val="12"/>
        <color theme="1"/>
        <rFont val="Aptos Narrow"/>
        <family val="2"/>
        <scheme val="minor"/>
      </rPr>
      <t>.Muestrame el producto antes y despues del cambio. Consideras el mensaje de "por el momento este producto no esta disponible"</t>
    </r>
  </si>
  <si>
    <t>Cuando el admin cierra su cuenta, ¿ la vista YA NO lo presenta como usuario logueado?</t>
  </si>
  <si>
    <r>
      <t xml:space="preserve">Los siguientes puntos </t>
    </r>
    <r>
      <rPr>
        <b/>
        <u/>
        <sz val="14"/>
        <color theme="5" tint="-0.499984740745262"/>
        <rFont val="Aptos Narrow"/>
        <family val="2"/>
        <scheme val="minor"/>
      </rPr>
      <t>NO APORTAN PUNTOS</t>
    </r>
    <r>
      <rPr>
        <b/>
        <sz val="14"/>
        <color theme="5" tint="-0.499984740745262"/>
        <rFont val="Aptos Narrow"/>
        <family val="2"/>
        <scheme val="minor"/>
      </rPr>
      <t xml:space="preserve">, </t>
    </r>
    <r>
      <rPr>
        <b/>
        <sz val="14"/>
        <color rgb="FFFF0000"/>
        <rFont val="Aptos Narrow"/>
        <family val="2"/>
        <scheme val="minor"/>
      </rPr>
      <t>pero para que elimines la puntacion negativa</t>
    </r>
    <r>
      <rPr>
        <b/>
        <sz val="14"/>
        <color theme="5" tint="-0.499984740745262"/>
        <rFont val="Aptos Narrow"/>
        <family val="2"/>
        <scheme val="minor"/>
      </rPr>
      <t xml:space="preserve"> DEBES MOSTRAR QUE LOS CUMPLES.</t>
    </r>
  </si>
  <si>
    <t>Muestrame en codigo que estas usando JWT en tu sistema, quiero ver el codigo del back y el localstorage del front para ver el token</t>
  </si>
  <si>
    <t>Muestrame en codigo  algun caso de uso de rutas protegidas. Uso de midleware</t>
  </si>
  <si>
    <t>Muestrame en codigo que utilizas cors y explicame para que?</t>
  </si>
  <si>
    <t>Muestrame en tu codigo algun caso que tu quieras que me demuestre el cumplimiento del siguiente  punto: "No deben exponerse datos sensibles en las respuesta"</t>
  </si>
  <si>
    <t>Muestrame en codigo  los endpoints de tu proyecto, explicame algunos.</t>
  </si>
  <si>
    <r>
      <t>9.</t>
    </r>
    <r>
      <rPr>
        <b/>
        <sz val="7"/>
        <color theme="1"/>
        <rFont val="Times New Roman"/>
        <family val="1"/>
      </rPr>
      <t xml:space="preserve">      </t>
    </r>
    <r>
      <rPr>
        <b/>
        <sz val="11"/>
        <color theme="1"/>
        <rFont val="Aptos"/>
        <family val="2"/>
      </rPr>
      <t>Enlace para ver su proyecto en línea y probarlo</t>
    </r>
  </si>
  <si>
    <r>
      <t xml:space="preserve">15. </t>
    </r>
    <r>
      <rPr>
        <sz val="7"/>
        <color theme="1"/>
        <rFont val="Times New Roman"/>
        <family val="1"/>
      </rPr>
      <t xml:space="preserve">     </t>
    </r>
    <r>
      <rPr>
        <sz val="11"/>
        <color theme="1"/>
        <rFont val="Aptos"/>
        <family val="2"/>
      </rPr>
      <t>Enlace a video de revisión de la rúbrica (este video). Incluir link de respaldo</t>
    </r>
  </si>
  <si>
    <t>No olvides colocar los nombres de los integrantes del equipo al inicio de la rubrica</t>
  </si>
  <si>
    <r>
      <rPr>
        <sz val="11"/>
        <color rgb="FFFF0000"/>
        <rFont val="Aptos Narrow"/>
        <family val="2"/>
        <scheme val="minor"/>
      </rPr>
      <t>NOTA IMPORTANTE.</t>
    </r>
    <r>
      <rPr>
        <sz val="11"/>
        <color theme="1"/>
        <rFont val="Aptos Narrow"/>
        <family val="2"/>
        <scheme val="minor"/>
      </rPr>
      <t xml:space="preserve"> Como puedes ver la rubrica inicia con numeros negativos, estos numeros los puedes ir borrando </t>
    </r>
    <r>
      <rPr>
        <b/>
        <sz val="11"/>
        <color theme="1"/>
        <rFont val="Aptos Narrow"/>
        <family val="2"/>
        <scheme val="minor"/>
      </rPr>
      <t>siempre y cuando tengas lo que te indico en cada punto</t>
    </r>
    <r>
      <rPr>
        <sz val="11"/>
        <color theme="1"/>
        <rFont val="Aptos Narrow"/>
        <family val="2"/>
        <scheme val="minor"/>
      </rPr>
      <t xml:space="preserve">, si tu proyecto NO incluye eso, </t>
    </r>
    <r>
      <rPr>
        <b/>
        <sz val="11"/>
        <color theme="1"/>
        <rFont val="Aptos Narrow"/>
        <family val="2"/>
        <scheme val="minor"/>
      </rPr>
      <t>TENDRAS QUE DEJAR LOS NUMEROS NEGATIVOS</t>
    </r>
    <r>
      <rPr>
        <sz val="11"/>
        <color theme="1"/>
        <rFont val="Aptos Narrow"/>
        <family val="2"/>
        <scheme val="minor"/>
      </rPr>
      <t xml:space="preserve">, </t>
    </r>
    <r>
      <rPr>
        <i/>
        <u/>
        <sz val="11"/>
        <color theme="1"/>
        <rFont val="Aptos Narrow"/>
        <family val="2"/>
        <scheme val="minor"/>
      </rPr>
      <t>que evidentemente afectan la calificacion del proyecto.</t>
    </r>
  </si>
  <si>
    <r>
      <t xml:space="preserve">La revision de la rubrica involucra pasar por los </t>
    </r>
    <r>
      <rPr>
        <b/>
        <sz val="11"/>
        <color rgb="FFFF0000"/>
        <rFont val="Aptos Narrow"/>
        <family val="2"/>
        <scheme val="minor"/>
      </rPr>
      <t>91</t>
    </r>
    <r>
      <rPr>
        <b/>
        <sz val="11"/>
        <color theme="1"/>
        <rFont val="Aptos Narrow"/>
        <family val="2"/>
        <scheme val="minor"/>
      </rPr>
      <t xml:space="preserve"> puntos numerados.</t>
    </r>
  </si>
  <si>
    <r>
      <rPr>
        <sz val="11"/>
        <color rgb="FFFF0000"/>
        <rFont val="Aptos Narrow"/>
        <family val="2"/>
        <scheme val="minor"/>
      </rPr>
      <t>NOTA IMPORTANTE</t>
    </r>
    <r>
      <rPr>
        <sz val="11"/>
        <color theme="1"/>
        <rFont val="Aptos Narrow"/>
        <family val="2"/>
        <scheme val="minor"/>
      </rPr>
      <t>. Con respecto a los puntos en POSITIVO es como siempre, si cumples el punto te das puntuacion completa en la columna derecha (Aquí te calificas), si solo tienes una parte puedes darte la mitad o menos o CERO puntos</t>
    </r>
  </si>
  <si>
    <r>
      <rPr>
        <sz val="11"/>
        <color rgb="FFFF0000"/>
        <rFont val="Aptos Narrow"/>
        <family val="2"/>
        <scheme val="minor"/>
      </rPr>
      <t xml:space="preserve">NOTA IMPORTANTE. </t>
    </r>
    <r>
      <rPr>
        <sz val="11"/>
        <color theme="1"/>
        <rFont val="Aptos Narrow"/>
        <family val="2"/>
        <scheme val="minor"/>
      </rPr>
      <t>Al final de la rubrica se va hacer el calculo de la calificacion del proyecto final</t>
    </r>
  </si>
  <si>
    <r>
      <t>#</t>
    </r>
    <r>
      <rPr>
        <b/>
        <sz val="18"/>
        <color theme="1"/>
        <rFont val="Aptos Display"/>
        <family val="2"/>
        <scheme val="major"/>
      </rPr>
      <t xml:space="preserve">1 </t>
    </r>
    <r>
      <rPr>
        <sz val="18"/>
        <color theme="1"/>
        <rFont val="Aptos Display"/>
        <family val="2"/>
        <scheme val="major"/>
      </rPr>
      <t>Tu PUNTACION INTERMEDIA</t>
    </r>
  </si>
  <si>
    <r>
      <t>#</t>
    </r>
    <r>
      <rPr>
        <b/>
        <sz val="18"/>
        <color theme="1"/>
        <rFont val="Aptos Display"/>
        <family val="2"/>
        <scheme val="major"/>
      </rPr>
      <t xml:space="preserve">2 </t>
    </r>
    <r>
      <rPr>
        <sz val="18"/>
        <color theme="1"/>
        <rFont val="Aptos Display"/>
        <family val="2"/>
        <scheme val="major"/>
      </rPr>
      <t>Tu PUNTACION INTERMEDIA</t>
    </r>
  </si>
  <si>
    <r>
      <rPr>
        <b/>
        <sz val="11"/>
        <color rgb="FFFF0000"/>
        <rFont val="Aptos Narrow"/>
        <family val="2"/>
        <scheme val="minor"/>
      </rPr>
      <t>Penalizaciones:</t>
    </r>
    <r>
      <rPr>
        <sz val="11"/>
        <color rgb="FFFF0000"/>
        <rFont val="Aptos Narrow"/>
        <family val="2"/>
        <scheme val="minor"/>
      </rPr>
      <t xml:space="preserve">  </t>
    </r>
    <r>
      <rPr>
        <sz val="11"/>
        <color theme="1"/>
        <rFont val="Aptos Narrow"/>
        <family val="2"/>
        <scheme val="minor"/>
      </rPr>
      <t xml:space="preserve"> </t>
    </r>
    <r>
      <rPr>
        <b/>
        <sz val="11"/>
        <color theme="1"/>
        <rFont val="Aptos Narrow"/>
        <family val="2"/>
        <scheme val="minor"/>
      </rPr>
      <t xml:space="preserve">por mentir que tienes un punto y no es así y ponerte la puntuacion, decir que   tienes completo  un punto y en realidad esta a medias o menos, brincarte puntos de la rubrica, ponerte puntuacion sin explicarla,  por alterar los numeros de las rubrica o hacer cualquier modificacion a tu favor en la rubrica, </t>
    </r>
    <r>
      <rPr>
        <b/>
        <sz val="11"/>
        <color rgb="FFFF0000"/>
        <rFont val="Aptos Narrow"/>
        <family val="2"/>
        <scheme val="minor"/>
      </rPr>
      <t>cualquier acto deshonesto</t>
    </r>
    <r>
      <rPr>
        <b/>
        <sz val="11"/>
        <color theme="1"/>
        <rFont val="Aptos Narrow"/>
        <family val="2"/>
        <scheme val="minor"/>
      </rPr>
      <t xml:space="preserve"> que detecte seran 20 pts menos por cada incidencia, que aplicaran sobre la calificacion final del proyecto.</t>
    </r>
  </si>
  <si>
    <t>Profesora Dra. Georgina Salazar Partida</t>
  </si>
  <si>
    <t>Frias</t>
  </si>
  <si>
    <t>Sara</t>
  </si>
  <si>
    <t>Fer</t>
  </si>
  <si>
    <t>Frias y Mike</t>
  </si>
  <si>
    <t>Mike</t>
  </si>
  <si>
    <t>Frias y Eliseo</t>
  </si>
  <si>
    <t>se muestra nomas</t>
  </si>
  <si>
    <t>Sara y Fer</t>
  </si>
  <si>
    <t>Nomas se muestra</t>
  </si>
  <si>
    <t>se muestra</t>
  </si>
  <si>
    <t>Eliseo Frias Mike</t>
  </si>
  <si>
    <t>los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</si>
</sst>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Aptos Narrow"/>
      <family val="2"/>
      <scheme val="minor"/>
    </font>
    <font>
      <b/>
      <sz val="11"/>
      <color theme="1"/>
      <name val="Aptos Narrow"/>
      <family val="2"/>
      <scheme val="minor"/>
    </font>
    <font>
      <sz val="10"/>
      <color theme="1"/>
      <name val="Arial Unicode MS"/>
    </font>
    <font>
      <sz val="11"/>
      <color theme="1"/>
      <name val="Aptos"/>
      <family val="2"/>
    </font>
    <font>
      <b/>
      <sz val="11"/>
      <color theme="1"/>
      <name val="Aptos"/>
      <family val="2"/>
    </font>
    <font>
      <b/>
      <vertAlign val="superscript"/>
      <sz val="11"/>
      <color theme="1"/>
      <name val="Aptos"/>
      <family val="2"/>
    </font>
    <font>
      <sz val="12"/>
      <color theme="1"/>
      <name val="Aptos Narrow"/>
      <family val="2"/>
      <scheme val="minor"/>
    </font>
    <font>
      <b/>
      <sz val="12"/>
      <color theme="1"/>
      <name val="Aptos Narrow"/>
      <family val="2"/>
      <scheme val="minor"/>
    </font>
    <font>
      <b/>
      <vertAlign val="superscript"/>
      <sz val="12"/>
      <color theme="1"/>
      <name val="Aptos Narrow"/>
      <family val="2"/>
      <scheme val="minor"/>
    </font>
    <font>
      <b/>
      <i/>
      <sz val="11"/>
      <color theme="1"/>
      <name val="Aptos"/>
      <family val="2"/>
    </font>
    <font>
      <b/>
      <sz val="11"/>
      <color rgb="FF00B050"/>
      <name val="Aptos"/>
      <family val="2"/>
    </font>
    <font>
      <b/>
      <vertAlign val="superscript"/>
      <sz val="11"/>
      <color rgb="FF00B050"/>
      <name val="Aptos"/>
      <family val="2"/>
    </font>
    <font>
      <b/>
      <vertAlign val="superscript"/>
      <sz val="11"/>
      <name val="Aptos"/>
      <family val="2"/>
    </font>
    <font>
      <b/>
      <i/>
      <u/>
      <sz val="11"/>
      <color theme="1"/>
      <name val="Aptos"/>
      <family val="2"/>
    </font>
    <font>
      <b/>
      <sz val="11"/>
      <color rgb="FF196B24"/>
      <name val="Aptos"/>
      <family val="2"/>
    </font>
    <font>
      <b/>
      <u/>
      <sz val="11"/>
      <color rgb="FF00B050"/>
      <name val="Aptos"/>
      <family val="2"/>
    </font>
    <font>
      <b/>
      <sz val="11"/>
      <color rgb="FF00B050"/>
      <name val="Aptos Narrow"/>
      <family val="2"/>
      <scheme val="minor"/>
    </font>
    <font>
      <b/>
      <vertAlign val="superscript"/>
      <sz val="11"/>
      <color theme="1"/>
      <name val="Aptos Narrow"/>
      <family val="2"/>
      <scheme val="minor"/>
    </font>
    <font>
      <sz val="11"/>
      <color rgb="FFED0000"/>
      <name val="Aptos"/>
      <family val="2"/>
    </font>
    <font>
      <sz val="11"/>
      <color theme="1"/>
      <name val="Aptos Narrow"/>
      <family val="2"/>
    </font>
    <font>
      <sz val="12"/>
      <color theme="1"/>
      <name val="Aptos Narrow"/>
      <family val="2"/>
    </font>
    <font>
      <sz val="7"/>
      <color theme="1"/>
      <name val="Times New Roman"/>
      <family val="1"/>
    </font>
    <font>
      <b/>
      <sz val="7"/>
      <color theme="1"/>
      <name val="Times New Roman"/>
      <family val="1"/>
    </font>
    <font>
      <u/>
      <sz val="11"/>
      <color rgb="FFFF0000"/>
      <name val="Aptos"/>
      <family val="2"/>
    </font>
    <font>
      <sz val="11"/>
      <color rgb="FFFF0000"/>
      <name val="Aptos"/>
      <family val="2"/>
    </font>
    <font>
      <b/>
      <sz val="11"/>
      <color rgb="FFFF0000"/>
      <name val="Aptos"/>
      <family val="2"/>
    </font>
    <font>
      <sz val="11"/>
      <color theme="1"/>
      <name val="Aptos Display"/>
      <family val="2"/>
      <scheme val="major"/>
    </font>
    <font>
      <b/>
      <sz val="14"/>
      <color theme="5" tint="-0.499984740745262"/>
      <name val="Aptos Narrow"/>
      <family val="2"/>
      <scheme val="minor"/>
    </font>
    <font>
      <b/>
      <u/>
      <sz val="14"/>
      <color theme="5" tint="-0.499984740745262"/>
      <name val="Aptos Narrow"/>
      <family val="2"/>
      <scheme val="minor"/>
    </font>
    <font>
      <b/>
      <sz val="14"/>
      <color rgb="FFFF0000"/>
      <name val="Aptos Narrow"/>
      <family val="2"/>
      <scheme val="minor"/>
    </font>
    <font>
      <sz val="11"/>
      <color rgb="FF00B050"/>
      <name val="Aptos"/>
      <family val="2"/>
    </font>
    <font>
      <sz val="18"/>
      <color theme="1"/>
      <name val="Aptos Display"/>
      <family val="2"/>
      <scheme val="major"/>
    </font>
    <font>
      <b/>
      <sz val="18"/>
      <color theme="3" tint="0.499984740745262"/>
      <name val="Aptos Display"/>
      <family val="2"/>
      <scheme val="major"/>
    </font>
    <font>
      <b/>
      <sz val="18"/>
      <color theme="1"/>
      <name val="Aptos Display"/>
      <family val="2"/>
      <scheme val="major"/>
    </font>
    <font>
      <sz val="11"/>
      <color rgb="FFFF0000"/>
      <name val="Aptos Narrow"/>
      <family val="2"/>
      <scheme val="minor"/>
    </font>
    <font>
      <sz val="12"/>
      <color rgb="FFFF0000"/>
      <name val="Aptos Narrow"/>
      <family val="2"/>
      <scheme val="minor"/>
    </font>
    <font>
      <b/>
      <sz val="11"/>
      <color theme="5"/>
      <name val="Aptos Narrow"/>
      <family val="2"/>
      <scheme val="minor"/>
    </font>
    <font>
      <u/>
      <sz val="11"/>
      <color theme="1"/>
      <name val="Aptos Narrow"/>
      <family val="2"/>
      <scheme val="minor"/>
    </font>
    <font>
      <b/>
      <sz val="18"/>
      <color theme="1"/>
      <name val="Aptos Narrow"/>
      <family val="2"/>
      <scheme val="minor"/>
    </font>
    <font>
      <u/>
      <sz val="12"/>
      <color theme="1"/>
      <name val="Aptos Narrow"/>
      <family val="2"/>
      <scheme val="minor"/>
    </font>
    <font>
      <i/>
      <sz val="12"/>
      <color theme="1"/>
      <name val="Aptos Narrow"/>
      <family val="2"/>
      <scheme val="minor"/>
    </font>
    <font>
      <i/>
      <u/>
      <sz val="11"/>
      <color theme="1"/>
      <name val="Aptos Narrow"/>
      <family val="2"/>
      <scheme val="minor"/>
    </font>
    <font>
      <b/>
      <sz val="11"/>
      <color rgb="FFFF0000"/>
      <name val="Aptos Narrow"/>
      <family val="2"/>
      <scheme val="minor"/>
    </font>
  </fonts>
  <fills count="6">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0"/>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s>
  <cellStyleXfs count="1">
    <xf numFmtId="0" fontId="0" fillId="0" borderId="0"/>
  </cellStyleXfs>
  <cellXfs count="51">
    <xf numFmtId="0" fontId="0" fillId="0" borderId="0" xfId="0"/>
    <xf numFmtId="0" fontId="0" fillId="0" borderId="1" xfId="0" applyBorder="1"/>
    <xf numFmtId="0" fontId="0" fillId="3" borderId="1" xfId="0" applyFill="1" applyBorder="1"/>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0" fillId="2" borderId="1" xfId="0" applyFill="1" applyBorder="1" applyAlignment="1">
      <alignment horizontal="center" vertical="center" wrapText="1"/>
    </xf>
    <xf numFmtId="0" fontId="0" fillId="4" borderId="1" xfId="0" applyFill="1" applyBorder="1" applyAlignment="1">
      <alignment horizontal="center" vertical="center" wrapText="1"/>
    </xf>
    <xf numFmtId="0" fontId="31" fillId="0" borderId="0" xfId="0" applyFont="1" applyAlignment="1">
      <alignment horizontal="right" vertical="center" indent="1"/>
    </xf>
    <xf numFmtId="0" fontId="0" fillId="5" borderId="0" xfId="0" applyFill="1" applyAlignment="1">
      <alignment horizontal="right" vertical="center" indent="1"/>
    </xf>
    <xf numFmtId="0" fontId="0" fillId="5" borderId="1" xfId="0" applyFill="1" applyBorder="1" applyAlignment="1">
      <alignment horizontal="center" vertical="center" wrapText="1"/>
    </xf>
    <xf numFmtId="0" fontId="31" fillId="0" borderId="0" xfId="0" applyFont="1" applyAlignment="1">
      <alignment horizontal="left" vertical="center" indent="1"/>
    </xf>
    <xf numFmtId="0" fontId="0" fillId="5" borderId="0" xfId="0" applyFill="1"/>
    <xf numFmtId="0" fontId="0" fillId="0" borderId="2" xfId="0" applyBorder="1" applyAlignment="1">
      <alignment horizontal="center" vertical="center" wrapText="1"/>
    </xf>
    <xf numFmtId="0" fontId="4" fillId="5" borderId="1" xfId="0" applyFont="1" applyFill="1" applyBorder="1" applyAlignment="1">
      <alignment vertical="center"/>
    </xf>
    <xf numFmtId="0" fontId="0" fillId="5" borderId="1" xfId="0" applyFill="1" applyBorder="1"/>
    <xf numFmtId="0" fontId="1" fillId="2" borderId="1" xfId="0" applyFont="1" applyFill="1" applyBorder="1" applyAlignment="1">
      <alignment horizontal="center"/>
    </xf>
    <xf numFmtId="0" fontId="32" fillId="0" borderId="0" xfId="0" applyFont="1" applyAlignment="1">
      <alignment horizontal="right" vertical="center" indent="1"/>
    </xf>
    <xf numFmtId="0" fontId="33" fillId="0" borderId="3" xfId="0" applyFont="1" applyBorder="1" applyAlignment="1">
      <alignment horizontal="right" vertical="center" indent="1"/>
    </xf>
    <xf numFmtId="0" fontId="31"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vertical="center"/>
    </xf>
    <xf numFmtId="0" fontId="6" fillId="0" borderId="1" xfId="0" applyFont="1" applyBorder="1" applyAlignment="1">
      <alignment vertical="center" wrapText="1"/>
    </xf>
    <xf numFmtId="0" fontId="4" fillId="3" borderId="1" xfId="0" applyFont="1" applyFill="1" applyBorder="1" applyAlignment="1">
      <alignment vertical="center"/>
    </xf>
    <xf numFmtId="0" fontId="6" fillId="3" borderId="1" xfId="0" applyFont="1" applyFill="1" applyBorder="1" applyAlignment="1">
      <alignment vertical="center" wrapText="1"/>
    </xf>
    <xf numFmtId="0" fontId="6" fillId="0" borderId="1" xfId="0" applyFont="1" applyBorder="1" applyAlignment="1">
      <alignment horizontal="right" vertical="center" wrapText="1"/>
    </xf>
    <xf numFmtId="0" fontId="4" fillId="2" borderId="1" xfId="0" applyFont="1" applyFill="1" applyBorder="1" applyAlignment="1">
      <alignment vertical="center"/>
    </xf>
    <xf numFmtId="0" fontId="3" fillId="0" borderId="1" xfId="0" applyFont="1" applyBorder="1" applyAlignment="1">
      <alignment horizontal="left" vertical="center" wrapText="1" indent="1"/>
    </xf>
    <xf numFmtId="0" fontId="4" fillId="3" borderId="1" xfId="0" applyFont="1" applyFill="1" applyBorder="1" applyAlignment="1">
      <alignment horizontal="left" vertical="center" wrapText="1" indent="1"/>
    </xf>
    <xf numFmtId="0" fontId="4" fillId="2" borderId="1" xfId="0" applyFont="1" applyFill="1" applyBorder="1" applyAlignment="1">
      <alignment horizontal="left" vertical="center" wrapText="1" indent="1"/>
    </xf>
    <xf numFmtId="0" fontId="0" fillId="0" borderId="1" xfId="0" applyBorder="1" applyAlignment="1">
      <alignment horizontal="left" vertical="center" indent="1"/>
    </xf>
    <xf numFmtId="0" fontId="0" fillId="0" borderId="1" xfId="0" applyBorder="1" applyAlignment="1">
      <alignment horizontal="right" vertical="center" indent="1"/>
    </xf>
    <xf numFmtId="0" fontId="27" fillId="0" borderId="1" xfId="0" applyFont="1" applyBorder="1" applyAlignment="1">
      <alignment horizontal="right" vertical="center" wrapText="1" indent="1"/>
    </xf>
    <xf numFmtId="0" fontId="1" fillId="0" borderId="1" xfId="0" applyFont="1" applyBorder="1" applyAlignment="1">
      <alignment horizontal="left" vertical="center" indent="1"/>
    </xf>
    <xf numFmtId="0" fontId="0" fillId="0" borderId="1" xfId="0" applyBorder="1" applyAlignment="1">
      <alignment horizontal="right" wrapText="1"/>
    </xf>
    <xf numFmtId="0" fontId="0" fillId="0" borderId="1" xfId="0" applyBorder="1" applyAlignment="1">
      <alignment horizontal="right"/>
    </xf>
    <xf numFmtId="0" fontId="0" fillId="0" borderId="1" xfId="0" applyBorder="1" applyAlignment="1">
      <alignment wrapText="1"/>
    </xf>
    <xf numFmtId="0" fontId="1" fillId="0" borderId="1" xfId="0" applyFont="1" applyBorder="1"/>
    <xf numFmtId="0" fontId="3" fillId="0" borderId="1" xfId="0" applyFont="1" applyBorder="1" applyAlignment="1">
      <alignment horizontal="left" vertical="center" wrapText="1" indent="6"/>
    </xf>
    <xf numFmtId="0" fontId="3" fillId="0" borderId="1" xfId="0" applyFont="1" applyBorder="1" applyAlignment="1">
      <alignment horizontal="left" vertical="center" indent="6"/>
    </xf>
    <xf numFmtId="0" fontId="4" fillId="0" borderId="1" xfId="0" applyFont="1" applyBorder="1" applyAlignment="1">
      <alignment horizontal="left" vertical="center" wrapText="1" indent="6"/>
    </xf>
    <xf numFmtId="0" fontId="1" fillId="0" borderId="0" xfId="0" applyFont="1"/>
    <xf numFmtId="17" fontId="1" fillId="0" borderId="0" xfId="0" quotePrefix="1" applyNumberFormat="1" applyFont="1"/>
    <xf numFmtId="0" fontId="4" fillId="0" borderId="1" xfId="0" applyFont="1" applyBorder="1" applyAlignment="1">
      <alignment vertical="center" wrapText="1"/>
    </xf>
    <xf numFmtId="0" fontId="36" fillId="0" borderId="1" xfId="0" applyFont="1" applyBorder="1"/>
    <xf numFmtId="0" fontId="38" fillId="0" borderId="0" xfId="0" applyFont="1"/>
    <xf numFmtId="0" fontId="0" fillId="0" borderId="0" xfId="0" applyAlignment="1">
      <alignment wrapText="1"/>
    </xf>
    <xf numFmtId="0" fontId="0" fillId="0" borderId="0" xfId="0"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wrapText="1"/>
    </xf>
    <xf numFmtId="0" fontId="0" fillId="3" borderId="1" xfId="0" applyFill="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xdr:col>
      <xdr:colOff>1435100</xdr:colOff>
      <xdr:row>133</xdr:row>
      <xdr:rowOff>32441</xdr:rowOff>
    </xdr:from>
    <xdr:to>
      <xdr:col>2</xdr:col>
      <xdr:colOff>4037792</xdr:colOff>
      <xdr:row>136</xdr:row>
      <xdr:rowOff>163294</xdr:rowOff>
    </xdr:to>
    <xdr:pic>
      <xdr:nvPicPr>
        <xdr:cNvPr id="3" name="Imagen 2">
          <a:extLst>
            <a:ext uri="{FF2B5EF4-FFF2-40B4-BE49-F238E27FC236}">
              <a16:creationId xmlns:a16="http://schemas.microsoft.com/office/drawing/2014/main" id="{02810062-EBD3-6309-DED5-F5B2228DAA0B}"/>
            </a:ext>
          </a:extLst>
        </xdr:cNvPr>
        <xdr:cNvPicPr>
          <a:picLocks noChangeAspect="1"/>
        </xdr:cNvPicPr>
      </xdr:nvPicPr>
      <xdr:blipFill>
        <a:blip xmlns:r="http://schemas.openxmlformats.org/officeDocument/2006/relationships" r:embed="rId1"/>
        <a:stretch>
          <a:fillRect/>
        </a:stretch>
      </xdr:blipFill>
      <xdr:spPr>
        <a:xfrm>
          <a:off x="2959100" y="38132441"/>
          <a:ext cx="2602692" cy="683303"/>
        </a:xfrm>
        <a:prstGeom prst="rect">
          <a:avLst/>
        </a:prstGeom>
      </xdr:spPr>
    </xdr:pic>
    <xdr:clientData/>
  </xdr:twoCellAnchor>
  <xdr:twoCellAnchor editAs="oneCell">
    <xdr:from>
      <xdr:col>2</xdr:col>
      <xdr:colOff>844550</xdr:colOff>
      <xdr:row>138</xdr:row>
      <xdr:rowOff>4107</xdr:rowOff>
    </xdr:from>
    <xdr:to>
      <xdr:col>2</xdr:col>
      <xdr:colOff>3913912</xdr:colOff>
      <xdr:row>140</xdr:row>
      <xdr:rowOff>1167</xdr:rowOff>
    </xdr:to>
    <xdr:pic>
      <xdr:nvPicPr>
        <xdr:cNvPr id="4" name="Imagen 3">
          <a:extLst>
            <a:ext uri="{FF2B5EF4-FFF2-40B4-BE49-F238E27FC236}">
              <a16:creationId xmlns:a16="http://schemas.microsoft.com/office/drawing/2014/main" id="{37759ACA-A51A-6899-686D-3230861C3B89}"/>
            </a:ext>
          </a:extLst>
        </xdr:cNvPr>
        <xdr:cNvPicPr>
          <a:picLocks noChangeAspect="1"/>
        </xdr:cNvPicPr>
      </xdr:nvPicPr>
      <xdr:blipFill>
        <a:blip xmlns:r="http://schemas.openxmlformats.org/officeDocument/2006/relationships" r:embed="rId2"/>
        <a:stretch>
          <a:fillRect/>
        </a:stretch>
      </xdr:blipFill>
      <xdr:spPr>
        <a:xfrm>
          <a:off x="2368550" y="39577307"/>
          <a:ext cx="3069362" cy="364090"/>
        </a:xfrm>
        <a:prstGeom prst="rect">
          <a:avLst/>
        </a:prstGeom>
      </xdr:spPr>
    </xdr:pic>
    <xdr:clientData/>
  </xdr:twoCellAnchor>
  <xdr:twoCellAnchor editAs="oneCell">
    <xdr:from>
      <xdr:col>2</xdr:col>
      <xdr:colOff>1164239</xdr:colOff>
      <xdr:row>141</xdr:row>
      <xdr:rowOff>69850</xdr:rowOff>
    </xdr:from>
    <xdr:to>
      <xdr:col>2</xdr:col>
      <xdr:colOff>4151909</xdr:colOff>
      <xdr:row>144</xdr:row>
      <xdr:rowOff>9361</xdr:rowOff>
    </xdr:to>
    <xdr:pic>
      <xdr:nvPicPr>
        <xdr:cNvPr id="5" name="Imagen 4">
          <a:extLst>
            <a:ext uri="{FF2B5EF4-FFF2-40B4-BE49-F238E27FC236}">
              <a16:creationId xmlns:a16="http://schemas.microsoft.com/office/drawing/2014/main" id="{863B1B21-081E-7FBF-DE86-FA6E697AF521}"/>
            </a:ext>
          </a:extLst>
        </xdr:cNvPr>
        <xdr:cNvPicPr>
          <a:picLocks noChangeAspect="1"/>
        </xdr:cNvPicPr>
      </xdr:nvPicPr>
      <xdr:blipFill>
        <a:blip xmlns:r="http://schemas.openxmlformats.org/officeDocument/2006/relationships" r:embed="rId3"/>
        <a:stretch>
          <a:fillRect/>
        </a:stretch>
      </xdr:blipFill>
      <xdr:spPr>
        <a:xfrm>
          <a:off x="2688239" y="41814750"/>
          <a:ext cx="2987670" cy="491961"/>
        </a:xfrm>
        <a:prstGeom prst="rect">
          <a:avLst/>
        </a:prstGeom>
      </xdr:spPr>
    </xdr:pic>
    <xdr:clientData/>
  </xdr:twoCellAnchor>
  <xdr:twoCellAnchor editAs="oneCell">
    <xdr:from>
      <xdr:col>2</xdr:col>
      <xdr:colOff>958850</xdr:colOff>
      <xdr:row>115</xdr:row>
      <xdr:rowOff>5632</xdr:rowOff>
    </xdr:from>
    <xdr:to>
      <xdr:col>2</xdr:col>
      <xdr:colOff>3765550</xdr:colOff>
      <xdr:row>115</xdr:row>
      <xdr:rowOff>173936</xdr:rowOff>
    </xdr:to>
    <xdr:pic>
      <xdr:nvPicPr>
        <xdr:cNvPr id="6" name="Imagen 5">
          <a:extLst>
            <a:ext uri="{FF2B5EF4-FFF2-40B4-BE49-F238E27FC236}">
              <a16:creationId xmlns:a16="http://schemas.microsoft.com/office/drawing/2014/main" id="{239AA0CB-8F6F-F081-4174-B6538A86B079}"/>
            </a:ext>
          </a:extLst>
        </xdr:cNvPr>
        <xdr:cNvPicPr>
          <a:picLocks noChangeAspect="1"/>
        </xdr:cNvPicPr>
      </xdr:nvPicPr>
      <xdr:blipFill>
        <a:blip xmlns:r="http://schemas.openxmlformats.org/officeDocument/2006/relationships" r:embed="rId4"/>
        <a:stretch>
          <a:fillRect/>
        </a:stretch>
      </xdr:blipFill>
      <xdr:spPr>
        <a:xfrm>
          <a:off x="2482850" y="34606782"/>
          <a:ext cx="2806700" cy="168304"/>
        </a:xfrm>
        <a:prstGeom prst="rect">
          <a:avLst/>
        </a:prstGeom>
      </xdr:spPr>
    </xdr:pic>
    <xdr:clientData/>
  </xdr:twoCellAnchor>
  <xdr:twoCellAnchor editAs="oneCell">
    <xdr:from>
      <xdr:col>2</xdr:col>
      <xdr:colOff>1111250</xdr:colOff>
      <xdr:row>117</xdr:row>
      <xdr:rowOff>14155</xdr:rowOff>
    </xdr:from>
    <xdr:to>
      <xdr:col>2</xdr:col>
      <xdr:colOff>2794000</xdr:colOff>
      <xdr:row>117</xdr:row>
      <xdr:rowOff>166747</xdr:rowOff>
    </xdr:to>
    <xdr:pic>
      <xdr:nvPicPr>
        <xdr:cNvPr id="7" name="Imagen 6">
          <a:extLst>
            <a:ext uri="{FF2B5EF4-FFF2-40B4-BE49-F238E27FC236}">
              <a16:creationId xmlns:a16="http://schemas.microsoft.com/office/drawing/2014/main" id="{8D5A60FA-48D1-747E-9156-E50C82F0DE98}"/>
            </a:ext>
          </a:extLst>
        </xdr:cNvPr>
        <xdr:cNvPicPr>
          <a:picLocks noChangeAspect="1"/>
        </xdr:cNvPicPr>
      </xdr:nvPicPr>
      <xdr:blipFill>
        <a:blip xmlns:r="http://schemas.openxmlformats.org/officeDocument/2006/relationships" r:embed="rId5"/>
        <a:stretch>
          <a:fillRect/>
        </a:stretch>
      </xdr:blipFill>
      <xdr:spPr>
        <a:xfrm>
          <a:off x="2635250" y="35536055"/>
          <a:ext cx="1682750" cy="152592"/>
        </a:xfrm>
        <a:prstGeom prst="rect">
          <a:avLst/>
        </a:prstGeom>
      </xdr:spPr>
    </xdr:pic>
    <xdr:clientData/>
  </xdr:twoCellAnchor>
  <xdr:twoCellAnchor editAs="oneCell">
    <xdr:from>
      <xdr:col>2</xdr:col>
      <xdr:colOff>1104900</xdr:colOff>
      <xdr:row>119</xdr:row>
      <xdr:rowOff>23692</xdr:rowOff>
    </xdr:from>
    <xdr:to>
      <xdr:col>2</xdr:col>
      <xdr:colOff>2526893</xdr:colOff>
      <xdr:row>119</xdr:row>
      <xdr:rowOff>165060</xdr:rowOff>
    </xdr:to>
    <xdr:pic>
      <xdr:nvPicPr>
        <xdr:cNvPr id="8" name="Imagen 7">
          <a:extLst>
            <a:ext uri="{FF2B5EF4-FFF2-40B4-BE49-F238E27FC236}">
              <a16:creationId xmlns:a16="http://schemas.microsoft.com/office/drawing/2014/main" id="{FF329396-1D87-D6C4-ABDE-9D1D478575B4}"/>
            </a:ext>
          </a:extLst>
        </xdr:cNvPr>
        <xdr:cNvPicPr>
          <a:picLocks noChangeAspect="1"/>
        </xdr:cNvPicPr>
      </xdr:nvPicPr>
      <xdr:blipFill>
        <a:blip xmlns:r="http://schemas.openxmlformats.org/officeDocument/2006/relationships" r:embed="rId6"/>
        <a:stretch>
          <a:fillRect/>
        </a:stretch>
      </xdr:blipFill>
      <xdr:spPr>
        <a:xfrm>
          <a:off x="2628900" y="36098042"/>
          <a:ext cx="1421993" cy="141368"/>
        </a:xfrm>
        <a:prstGeom prst="rect">
          <a:avLst/>
        </a:prstGeom>
      </xdr:spPr>
    </xdr:pic>
    <xdr:clientData/>
  </xdr:twoCellAnchor>
  <xdr:twoCellAnchor editAs="oneCell">
    <xdr:from>
      <xdr:col>2</xdr:col>
      <xdr:colOff>781854</xdr:colOff>
      <xdr:row>121</xdr:row>
      <xdr:rowOff>25400</xdr:rowOff>
    </xdr:from>
    <xdr:to>
      <xdr:col>2</xdr:col>
      <xdr:colOff>2065826</xdr:colOff>
      <xdr:row>121</xdr:row>
      <xdr:rowOff>177800</xdr:rowOff>
    </xdr:to>
    <xdr:pic>
      <xdr:nvPicPr>
        <xdr:cNvPr id="9" name="Imagen 8">
          <a:extLst>
            <a:ext uri="{FF2B5EF4-FFF2-40B4-BE49-F238E27FC236}">
              <a16:creationId xmlns:a16="http://schemas.microsoft.com/office/drawing/2014/main" id="{E9FE9AE6-AC2B-8BF8-02FF-A00D72E8624E}"/>
            </a:ext>
          </a:extLst>
        </xdr:cNvPr>
        <xdr:cNvPicPr>
          <a:picLocks noChangeAspect="1"/>
        </xdr:cNvPicPr>
      </xdr:nvPicPr>
      <xdr:blipFill>
        <a:blip xmlns:r="http://schemas.openxmlformats.org/officeDocument/2006/relationships" r:embed="rId7"/>
        <a:stretch>
          <a:fillRect/>
        </a:stretch>
      </xdr:blipFill>
      <xdr:spPr>
        <a:xfrm>
          <a:off x="2305854" y="36652200"/>
          <a:ext cx="1283972" cy="152400"/>
        </a:xfrm>
        <a:prstGeom prst="rect">
          <a:avLst/>
        </a:prstGeom>
      </xdr:spPr>
    </xdr:pic>
    <xdr:clientData/>
  </xdr:twoCellAnchor>
  <xdr:twoCellAnchor editAs="oneCell">
    <xdr:from>
      <xdr:col>2</xdr:col>
      <xdr:colOff>1104900</xdr:colOff>
      <xdr:row>74</xdr:row>
      <xdr:rowOff>26693</xdr:rowOff>
    </xdr:from>
    <xdr:to>
      <xdr:col>2</xdr:col>
      <xdr:colOff>4006155</xdr:colOff>
      <xdr:row>74</xdr:row>
      <xdr:rowOff>230376</xdr:rowOff>
    </xdr:to>
    <xdr:pic>
      <xdr:nvPicPr>
        <xdr:cNvPr id="10" name="Imagen 9">
          <a:extLst>
            <a:ext uri="{FF2B5EF4-FFF2-40B4-BE49-F238E27FC236}">
              <a16:creationId xmlns:a16="http://schemas.microsoft.com/office/drawing/2014/main" id="{BA27FEC6-68A8-F930-6C54-F0190CE49911}"/>
            </a:ext>
          </a:extLst>
        </xdr:cNvPr>
        <xdr:cNvPicPr>
          <a:picLocks noChangeAspect="1"/>
        </xdr:cNvPicPr>
      </xdr:nvPicPr>
      <xdr:blipFill>
        <a:blip xmlns:r="http://schemas.openxmlformats.org/officeDocument/2006/relationships" r:embed="rId8"/>
        <a:stretch>
          <a:fillRect/>
        </a:stretch>
      </xdr:blipFill>
      <xdr:spPr>
        <a:xfrm>
          <a:off x="2101850" y="26245843"/>
          <a:ext cx="2901255" cy="203683"/>
        </a:xfrm>
        <a:prstGeom prst="rect">
          <a:avLst/>
        </a:prstGeom>
      </xdr:spPr>
    </xdr:pic>
    <xdr:clientData/>
  </xdr:twoCellAnchor>
  <xdr:twoCellAnchor editAs="oneCell">
    <xdr:from>
      <xdr:col>2</xdr:col>
      <xdr:colOff>577850</xdr:colOff>
      <xdr:row>56</xdr:row>
      <xdr:rowOff>38101</xdr:rowOff>
    </xdr:from>
    <xdr:to>
      <xdr:col>2</xdr:col>
      <xdr:colOff>5031400</xdr:colOff>
      <xdr:row>57</xdr:row>
      <xdr:rowOff>85039</xdr:rowOff>
    </xdr:to>
    <xdr:pic>
      <xdr:nvPicPr>
        <xdr:cNvPr id="11" name="Imagen 10">
          <a:extLst>
            <a:ext uri="{FF2B5EF4-FFF2-40B4-BE49-F238E27FC236}">
              <a16:creationId xmlns:a16="http://schemas.microsoft.com/office/drawing/2014/main" id="{392AF3A5-0EBA-C299-00EC-DCA9BFDA619A}"/>
            </a:ext>
          </a:extLst>
        </xdr:cNvPr>
        <xdr:cNvPicPr>
          <a:picLocks noChangeAspect="1"/>
        </xdr:cNvPicPr>
      </xdr:nvPicPr>
      <xdr:blipFill>
        <a:blip xmlns:r="http://schemas.openxmlformats.org/officeDocument/2006/relationships" r:embed="rId9"/>
        <a:stretch>
          <a:fillRect/>
        </a:stretch>
      </xdr:blipFill>
      <xdr:spPr>
        <a:xfrm>
          <a:off x="2101850" y="10934701"/>
          <a:ext cx="4453550" cy="250138"/>
        </a:xfrm>
        <a:prstGeom prst="rect">
          <a:avLst/>
        </a:prstGeom>
      </xdr:spPr>
    </xdr:pic>
    <xdr:clientData/>
  </xdr:twoCellAnchor>
  <xdr:twoCellAnchor editAs="oneCell">
    <xdr:from>
      <xdr:col>2</xdr:col>
      <xdr:colOff>208359</xdr:colOff>
      <xdr:row>71</xdr:row>
      <xdr:rowOff>12700</xdr:rowOff>
    </xdr:from>
    <xdr:to>
      <xdr:col>2</xdr:col>
      <xdr:colOff>4682131</xdr:colOff>
      <xdr:row>72</xdr:row>
      <xdr:rowOff>0</xdr:rowOff>
    </xdr:to>
    <xdr:pic>
      <xdr:nvPicPr>
        <xdr:cNvPr id="12" name="Imagen 11">
          <a:extLst>
            <a:ext uri="{FF2B5EF4-FFF2-40B4-BE49-F238E27FC236}">
              <a16:creationId xmlns:a16="http://schemas.microsoft.com/office/drawing/2014/main" id="{DE4B65CD-3920-BD9D-2A2A-29A89E932C5C}"/>
            </a:ext>
          </a:extLst>
        </xdr:cNvPr>
        <xdr:cNvPicPr>
          <a:picLocks noChangeAspect="1"/>
        </xdr:cNvPicPr>
      </xdr:nvPicPr>
      <xdr:blipFill>
        <a:blip xmlns:r="http://schemas.openxmlformats.org/officeDocument/2006/relationships" r:embed="rId10"/>
        <a:stretch>
          <a:fillRect/>
        </a:stretch>
      </xdr:blipFill>
      <xdr:spPr>
        <a:xfrm>
          <a:off x="1732359" y="17786350"/>
          <a:ext cx="4473772" cy="171450"/>
        </a:xfrm>
        <a:prstGeom prst="rect">
          <a:avLst/>
        </a:prstGeom>
      </xdr:spPr>
    </xdr:pic>
    <xdr:clientData/>
  </xdr:twoCellAnchor>
  <xdr:twoCellAnchor editAs="oneCell">
    <xdr:from>
      <xdr:col>2</xdr:col>
      <xdr:colOff>203200</xdr:colOff>
      <xdr:row>69</xdr:row>
      <xdr:rowOff>729460</xdr:rowOff>
    </xdr:from>
    <xdr:to>
      <xdr:col>2</xdr:col>
      <xdr:colOff>2196669</xdr:colOff>
      <xdr:row>70</xdr:row>
      <xdr:rowOff>174585</xdr:rowOff>
    </xdr:to>
    <xdr:pic>
      <xdr:nvPicPr>
        <xdr:cNvPr id="13" name="Imagen 12">
          <a:extLst>
            <a:ext uri="{FF2B5EF4-FFF2-40B4-BE49-F238E27FC236}">
              <a16:creationId xmlns:a16="http://schemas.microsoft.com/office/drawing/2014/main" id="{1D6BFDDD-53A3-3E76-01F1-47C57D2D23F2}"/>
            </a:ext>
          </a:extLst>
        </xdr:cNvPr>
        <xdr:cNvPicPr>
          <a:picLocks noChangeAspect="1"/>
        </xdr:cNvPicPr>
      </xdr:nvPicPr>
      <xdr:blipFill>
        <a:blip xmlns:r="http://schemas.openxmlformats.org/officeDocument/2006/relationships" r:embed="rId11"/>
        <a:stretch>
          <a:fillRect/>
        </a:stretch>
      </xdr:blipFill>
      <xdr:spPr>
        <a:xfrm>
          <a:off x="1727200" y="17582360"/>
          <a:ext cx="1993469" cy="181725"/>
        </a:xfrm>
        <a:prstGeom prst="rect">
          <a:avLst/>
        </a:prstGeom>
      </xdr:spPr>
    </xdr:pic>
    <xdr:clientData/>
  </xdr:twoCellAnchor>
  <xdr:twoCellAnchor editAs="oneCell">
    <xdr:from>
      <xdr:col>2</xdr:col>
      <xdr:colOff>1339850</xdr:colOff>
      <xdr:row>124</xdr:row>
      <xdr:rowOff>7681</xdr:rowOff>
    </xdr:from>
    <xdr:to>
      <xdr:col>2</xdr:col>
      <xdr:colOff>4164907</xdr:colOff>
      <xdr:row>125</xdr:row>
      <xdr:rowOff>3131</xdr:rowOff>
    </xdr:to>
    <xdr:pic>
      <xdr:nvPicPr>
        <xdr:cNvPr id="14" name="Imagen 13">
          <a:extLst>
            <a:ext uri="{FF2B5EF4-FFF2-40B4-BE49-F238E27FC236}">
              <a16:creationId xmlns:a16="http://schemas.microsoft.com/office/drawing/2014/main" id="{6A5DB38B-B6BE-59A8-74DA-B948CF1599F1}"/>
            </a:ext>
          </a:extLst>
        </xdr:cNvPr>
        <xdr:cNvPicPr>
          <a:picLocks noChangeAspect="1"/>
        </xdr:cNvPicPr>
      </xdr:nvPicPr>
      <xdr:blipFill>
        <a:blip xmlns:r="http://schemas.openxmlformats.org/officeDocument/2006/relationships" r:embed="rId12"/>
        <a:stretch>
          <a:fillRect/>
        </a:stretch>
      </xdr:blipFill>
      <xdr:spPr>
        <a:xfrm>
          <a:off x="2863850" y="37923531"/>
          <a:ext cx="2825057" cy="179600"/>
        </a:xfrm>
        <a:prstGeom prst="rect">
          <a:avLst/>
        </a:prstGeom>
      </xdr:spPr>
    </xdr:pic>
    <xdr:clientData/>
  </xdr:twoCellAnchor>
  <xdr:twoCellAnchor editAs="oneCell">
    <xdr:from>
      <xdr:col>2</xdr:col>
      <xdr:colOff>792632</xdr:colOff>
      <xdr:row>126</xdr:row>
      <xdr:rowOff>19050</xdr:rowOff>
    </xdr:from>
    <xdr:to>
      <xdr:col>2</xdr:col>
      <xdr:colOff>4986964</xdr:colOff>
      <xdr:row>128</xdr:row>
      <xdr:rowOff>123717</xdr:rowOff>
    </xdr:to>
    <xdr:pic>
      <xdr:nvPicPr>
        <xdr:cNvPr id="15" name="Imagen 14">
          <a:extLst>
            <a:ext uri="{FF2B5EF4-FFF2-40B4-BE49-F238E27FC236}">
              <a16:creationId xmlns:a16="http://schemas.microsoft.com/office/drawing/2014/main" id="{797F0117-5525-4AF4-C5CA-72CBD9D736AB}"/>
            </a:ext>
          </a:extLst>
        </xdr:cNvPr>
        <xdr:cNvPicPr>
          <a:picLocks noChangeAspect="1"/>
        </xdr:cNvPicPr>
      </xdr:nvPicPr>
      <xdr:blipFill>
        <a:blip xmlns:r="http://schemas.openxmlformats.org/officeDocument/2006/relationships" r:embed="rId13"/>
        <a:stretch>
          <a:fillRect/>
        </a:stretch>
      </xdr:blipFill>
      <xdr:spPr>
        <a:xfrm>
          <a:off x="2316632" y="38855650"/>
          <a:ext cx="4194332" cy="472967"/>
        </a:xfrm>
        <a:prstGeom prst="rect">
          <a:avLst/>
        </a:prstGeom>
      </xdr:spPr>
    </xdr:pic>
    <xdr:clientData/>
  </xdr:twoCellAnchor>
  <xdr:twoCellAnchor editAs="oneCell">
    <xdr:from>
      <xdr:col>2</xdr:col>
      <xdr:colOff>781050</xdr:colOff>
      <xdr:row>128</xdr:row>
      <xdr:rowOff>152400</xdr:rowOff>
    </xdr:from>
    <xdr:to>
      <xdr:col>2</xdr:col>
      <xdr:colOff>4497923</xdr:colOff>
      <xdr:row>131</xdr:row>
      <xdr:rowOff>168215</xdr:rowOff>
    </xdr:to>
    <xdr:pic>
      <xdr:nvPicPr>
        <xdr:cNvPr id="16" name="Imagen 15">
          <a:extLst>
            <a:ext uri="{FF2B5EF4-FFF2-40B4-BE49-F238E27FC236}">
              <a16:creationId xmlns:a16="http://schemas.microsoft.com/office/drawing/2014/main" id="{BE2B691A-7DF9-7E3C-7420-9F73C4E59977}"/>
            </a:ext>
          </a:extLst>
        </xdr:cNvPr>
        <xdr:cNvPicPr>
          <a:picLocks noChangeAspect="1"/>
        </xdr:cNvPicPr>
      </xdr:nvPicPr>
      <xdr:blipFill>
        <a:blip xmlns:r="http://schemas.openxmlformats.org/officeDocument/2006/relationships" r:embed="rId14"/>
        <a:stretch>
          <a:fillRect/>
        </a:stretch>
      </xdr:blipFill>
      <xdr:spPr>
        <a:xfrm>
          <a:off x="1778000" y="46126400"/>
          <a:ext cx="3716873" cy="568265"/>
        </a:xfrm>
        <a:prstGeom prst="rect">
          <a:avLst/>
        </a:prstGeom>
      </xdr:spPr>
    </xdr:pic>
    <xdr:clientData/>
  </xdr:twoCellAnchor>
  <xdr:twoCellAnchor editAs="oneCell">
    <xdr:from>
      <xdr:col>2</xdr:col>
      <xdr:colOff>368300</xdr:colOff>
      <xdr:row>104</xdr:row>
      <xdr:rowOff>2472</xdr:rowOff>
    </xdr:from>
    <xdr:to>
      <xdr:col>2</xdr:col>
      <xdr:colOff>4855296</xdr:colOff>
      <xdr:row>106</xdr:row>
      <xdr:rowOff>184149</xdr:rowOff>
    </xdr:to>
    <xdr:pic>
      <xdr:nvPicPr>
        <xdr:cNvPr id="26" name="Imagen 25">
          <a:extLst>
            <a:ext uri="{FF2B5EF4-FFF2-40B4-BE49-F238E27FC236}">
              <a16:creationId xmlns:a16="http://schemas.microsoft.com/office/drawing/2014/main" id="{9D5991A2-926F-4EEA-B1D6-738654FB1597}"/>
            </a:ext>
          </a:extLst>
        </xdr:cNvPr>
        <xdr:cNvPicPr>
          <a:picLocks noChangeAspect="1"/>
        </xdr:cNvPicPr>
      </xdr:nvPicPr>
      <xdr:blipFill>
        <a:blip xmlns:r="http://schemas.openxmlformats.org/officeDocument/2006/relationships" r:embed="rId15"/>
        <a:stretch>
          <a:fillRect/>
        </a:stretch>
      </xdr:blipFill>
      <xdr:spPr>
        <a:xfrm>
          <a:off x="1892300" y="32679572"/>
          <a:ext cx="4486996" cy="651577"/>
        </a:xfrm>
        <a:prstGeom prst="rect">
          <a:avLst/>
        </a:prstGeom>
      </xdr:spPr>
    </xdr:pic>
    <xdr:clientData/>
  </xdr:twoCellAnchor>
  <xdr:twoCellAnchor editAs="oneCell">
    <xdr:from>
      <xdr:col>2</xdr:col>
      <xdr:colOff>779790</xdr:colOff>
      <xdr:row>77</xdr:row>
      <xdr:rowOff>279400</xdr:rowOff>
    </xdr:from>
    <xdr:to>
      <xdr:col>2</xdr:col>
      <xdr:colOff>4171950</xdr:colOff>
      <xdr:row>78</xdr:row>
      <xdr:rowOff>177823</xdr:rowOff>
    </xdr:to>
    <xdr:pic>
      <xdr:nvPicPr>
        <xdr:cNvPr id="27" name="Imagen 26">
          <a:extLst>
            <a:ext uri="{FF2B5EF4-FFF2-40B4-BE49-F238E27FC236}">
              <a16:creationId xmlns:a16="http://schemas.microsoft.com/office/drawing/2014/main" id="{D4DA2E63-F427-4B88-B813-D59ED7D83D5F}"/>
            </a:ext>
          </a:extLst>
        </xdr:cNvPr>
        <xdr:cNvPicPr>
          <a:picLocks noChangeAspect="1"/>
        </xdr:cNvPicPr>
      </xdr:nvPicPr>
      <xdr:blipFill>
        <a:blip xmlns:r="http://schemas.openxmlformats.org/officeDocument/2006/relationships" r:embed="rId9"/>
        <a:stretch>
          <a:fillRect/>
        </a:stretch>
      </xdr:blipFill>
      <xdr:spPr>
        <a:xfrm>
          <a:off x="2303790" y="21920200"/>
          <a:ext cx="3392160" cy="19052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553A3-B99D-4B3C-A6FE-9237FC75FCA7}">
  <dimension ref="B2:F177"/>
  <sheetViews>
    <sheetView tabSelected="1" topLeftCell="A91" workbookViewId="0">
      <selection activeCell="F97" sqref="F97"/>
    </sheetView>
  </sheetViews>
  <sheetFormatPr baseColWidth="10" defaultRowHeight="14.4"/>
  <cols>
    <col min="1" max="1" width="9.77734375" customWidth="1"/>
    <col min="2" max="2" width="4.5546875" customWidth="1"/>
    <col min="3" max="3" width="76.21875" customWidth="1"/>
    <col min="5" max="5" width="13.77734375" customWidth="1"/>
    <col min="6" max="6" width="44.77734375" customWidth="1"/>
  </cols>
  <sheetData>
    <row r="2" spans="2:3">
      <c r="C2" s="40" t="s">
        <v>86</v>
      </c>
    </row>
    <row r="3" spans="2:3">
      <c r="C3" s="40" t="s">
        <v>127</v>
      </c>
    </row>
    <row r="4" spans="2:3">
      <c r="C4" s="40" t="s">
        <v>87</v>
      </c>
    </row>
    <row r="5" spans="2:3">
      <c r="C5" s="40" t="s">
        <v>89</v>
      </c>
    </row>
    <row r="6" spans="2:3">
      <c r="C6" s="41" t="s">
        <v>90</v>
      </c>
    </row>
    <row r="7" spans="2:3">
      <c r="C7" s="40" t="s">
        <v>88</v>
      </c>
    </row>
    <row r="10" spans="2:3">
      <c r="C10" s="40" t="s">
        <v>85</v>
      </c>
    </row>
    <row r="11" spans="2:3">
      <c r="B11">
        <v>1</v>
      </c>
      <c r="C11" t="s">
        <v>6</v>
      </c>
    </row>
    <row r="12" spans="2:3">
      <c r="B12">
        <v>2</v>
      </c>
    </row>
    <row r="13" spans="2:3">
      <c r="B13">
        <v>3</v>
      </c>
    </row>
    <row r="14" spans="2:3">
      <c r="B14">
        <v>4</v>
      </c>
    </row>
    <row r="15" spans="2:3">
      <c r="B15">
        <v>5</v>
      </c>
    </row>
    <row r="16" spans="2:3">
      <c r="B16">
        <v>6</v>
      </c>
    </row>
    <row r="19" spans="2:3" ht="23.4">
      <c r="C19" s="44" t="s">
        <v>84</v>
      </c>
    </row>
    <row r="20" spans="2:3">
      <c r="B20" s="3">
        <v>1</v>
      </c>
      <c r="C20" s="43" t="s">
        <v>94</v>
      </c>
    </row>
    <row r="21" spans="2:3">
      <c r="B21" s="3">
        <f>1+B20</f>
        <v>2</v>
      </c>
      <c r="C21" s="43" t="s">
        <v>93</v>
      </c>
    </row>
    <row r="22" spans="2:3">
      <c r="B22" s="3">
        <f t="shared" ref="B22:B30" si="0">1+B21</f>
        <v>3</v>
      </c>
      <c r="C22" s="1" t="s">
        <v>91</v>
      </c>
    </row>
    <row r="23" spans="2:3" ht="43.2">
      <c r="B23" s="3">
        <f t="shared" si="0"/>
        <v>4</v>
      </c>
      <c r="C23" s="35" t="s">
        <v>97</v>
      </c>
    </row>
    <row r="24" spans="2:3" ht="28.8">
      <c r="B24" s="3">
        <f t="shared" si="0"/>
        <v>5</v>
      </c>
      <c r="C24" s="35" t="s">
        <v>95</v>
      </c>
    </row>
    <row r="25" spans="2:3" ht="43.2">
      <c r="B25" s="3">
        <f t="shared" si="0"/>
        <v>6</v>
      </c>
      <c r="C25" s="35" t="s">
        <v>96</v>
      </c>
    </row>
    <row r="26" spans="2:3" ht="28.8">
      <c r="B26" s="3">
        <f t="shared" si="0"/>
        <v>7</v>
      </c>
      <c r="C26" s="35" t="s">
        <v>98</v>
      </c>
    </row>
    <row r="27" spans="2:3" ht="63">
      <c r="B27" s="3">
        <f t="shared" si="0"/>
        <v>8</v>
      </c>
      <c r="C27" s="35" t="s">
        <v>99</v>
      </c>
    </row>
    <row r="28" spans="2:3">
      <c r="B28" s="3">
        <f t="shared" si="0"/>
        <v>9</v>
      </c>
      <c r="C28" s="48" t="s">
        <v>121</v>
      </c>
    </row>
    <row r="29" spans="2:3" ht="43.2">
      <c r="B29" s="3">
        <f t="shared" si="0"/>
        <v>10</v>
      </c>
      <c r="C29" s="35" t="s">
        <v>100</v>
      </c>
    </row>
    <row r="30" spans="2:3">
      <c r="B30" s="3">
        <f t="shared" si="0"/>
        <v>11</v>
      </c>
      <c r="C30" s="35" t="s">
        <v>119</v>
      </c>
    </row>
    <row r="31" spans="2:3">
      <c r="B31" s="46"/>
      <c r="C31" s="45"/>
    </row>
    <row r="32" spans="2:3" ht="86.4">
      <c r="C32" s="45" t="s">
        <v>126</v>
      </c>
    </row>
    <row r="34" spans="2:6" ht="57.6">
      <c r="C34" s="45" t="s">
        <v>120</v>
      </c>
    </row>
    <row r="36" spans="2:6" ht="43.2">
      <c r="C36" s="45" t="s">
        <v>122</v>
      </c>
    </row>
    <row r="37" spans="2:6">
      <c r="C37" t="s">
        <v>6</v>
      </c>
    </row>
    <row r="38" spans="2:6" ht="28.8">
      <c r="C38" s="45" t="s">
        <v>123</v>
      </c>
    </row>
    <row r="41" spans="2:6">
      <c r="D41" s="15" t="s">
        <v>73</v>
      </c>
      <c r="E41" s="15" t="s">
        <v>74</v>
      </c>
    </row>
    <row r="42" spans="2:6">
      <c r="C42" s="13" t="s">
        <v>2</v>
      </c>
      <c r="D42" s="14"/>
      <c r="E42" s="14"/>
    </row>
    <row r="43" spans="2:6" ht="57.6">
      <c r="B43" s="3">
        <f>1</f>
        <v>1</v>
      </c>
      <c r="C43" s="19" t="s">
        <v>75</v>
      </c>
      <c r="D43" s="12" t="s">
        <v>6</v>
      </c>
      <c r="E43" s="12">
        <v>-10</v>
      </c>
      <c r="F43" t="s">
        <v>130</v>
      </c>
    </row>
    <row r="44" spans="2:6" ht="16.2">
      <c r="B44" s="3">
        <f>B43+1</f>
        <v>2</v>
      </c>
      <c r="C44" s="20" t="s">
        <v>7</v>
      </c>
      <c r="D44" s="3">
        <v>1</v>
      </c>
      <c r="E44" s="3"/>
      <c r="F44" t="s">
        <v>129</v>
      </c>
    </row>
    <row r="45" spans="2:6" ht="34.799999999999997">
      <c r="B45" s="3">
        <f t="shared" ref="B45:B97" si="1">B44+1</f>
        <v>3</v>
      </c>
      <c r="C45" s="21" t="s">
        <v>71</v>
      </c>
      <c r="D45" s="3">
        <v>3</v>
      </c>
      <c r="E45" s="3"/>
      <c r="F45" t="s">
        <v>130</v>
      </c>
    </row>
    <row r="46" spans="2:6" ht="52.2">
      <c r="B46" s="3">
        <f t="shared" si="1"/>
        <v>4</v>
      </c>
      <c r="C46" s="21" t="s">
        <v>101</v>
      </c>
      <c r="D46" s="3">
        <v>3</v>
      </c>
      <c r="E46" s="3"/>
      <c r="F46" t="s">
        <v>129</v>
      </c>
    </row>
    <row r="47" spans="2:6" ht="31.2">
      <c r="B47" s="3">
        <f t="shared" si="1"/>
        <v>5</v>
      </c>
      <c r="C47" s="21" t="s">
        <v>5</v>
      </c>
      <c r="D47" s="3">
        <v>1</v>
      </c>
      <c r="E47" s="3"/>
      <c r="F47" t="s">
        <v>129</v>
      </c>
    </row>
    <row r="48" spans="2:6" ht="34.799999999999997">
      <c r="B48" s="3">
        <f t="shared" si="1"/>
        <v>6</v>
      </c>
      <c r="C48" s="21" t="s">
        <v>8</v>
      </c>
      <c r="D48" s="3">
        <v>3</v>
      </c>
      <c r="E48" s="3"/>
      <c r="F48" t="s">
        <v>129</v>
      </c>
    </row>
    <row r="49" spans="2:5" ht="15.6">
      <c r="B49" s="3">
        <f t="shared" si="1"/>
        <v>7</v>
      </c>
      <c r="C49" s="21" t="s">
        <v>9</v>
      </c>
      <c r="D49" s="3">
        <v>1</v>
      </c>
      <c r="E49" s="3"/>
    </row>
    <row r="50" spans="2:5" ht="46.8">
      <c r="B50" s="3">
        <f t="shared" si="1"/>
        <v>8</v>
      </c>
      <c r="C50" s="21" t="s">
        <v>10</v>
      </c>
      <c r="D50" s="3">
        <v>1</v>
      </c>
      <c r="E50" s="3"/>
    </row>
    <row r="51" spans="2:5" ht="97.2">
      <c r="B51" s="3">
        <f t="shared" si="1"/>
        <v>9</v>
      </c>
      <c r="C51" s="21" t="s">
        <v>102</v>
      </c>
      <c r="D51" s="3">
        <v>4</v>
      </c>
      <c r="E51" s="3"/>
    </row>
    <row r="52" spans="2:5">
      <c r="B52" s="3">
        <f t="shared" si="1"/>
        <v>10</v>
      </c>
      <c r="C52" s="22" t="s">
        <v>16</v>
      </c>
      <c r="D52" s="4"/>
      <c r="E52" s="4"/>
    </row>
    <row r="53" spans="2:5" ht="99">
      <c r="B53" s="3">
        <f t="shared" si="1"/>
        <v>11</v>
      </c>
      <c r="C53" s="21" t="s">
        <v>17</v>
      </c>
      <c r="D53" s="3">
        <v>4</v>
      </c>
      <c r="E53" s="3"/>
    </row>
    <row r="54" spans="2:5" ht="109.2">
      <c r="B54" s="3">
        <f t="shared" si="1"/>
        <v>12</v>
      </c>
      <c r="C54" s="23" t="s">
        <v>42</v>
      </c>
      <c r="D54" s="4"/>
      <c r="E54" s="4"/>
    </row>
    <row r="55" spans="2:5" ht="15.6">
      <c r="B55" s="3">
        <f t="shared" si="1"/>
        <v>13</v>
      </c>
      <c r="C55" s="23" t="s">
        <v>3</v>
      </c>
      <c r="D55" s="4"/>
      <c r="E55" s="4"/>
    </row>
    <row r="56" spans="2:5" ht="15.6">
      <c r="B56" s="3">
        <f t="shared" si="1"/>
        <v>14</v>
      </c>
      <c r="C56" s="24" t="s">
        <v>12</v>
      </c>
      <c r="D56" s="3">
        <v>2</v>
      </c>
      <c r="E56" s="3"/>
    </row>
    <row r="57" spans="2:5" ht="15.6">
      <c r="B57" s="3" t="s">
        <v>6</v>
      </c>
      <c r="C57" s="24"/>
      <c r="D57" s="49"/>
      <c r="E57" s="49"/>
    </row>
    <row r="58" spans="2:5" ht="15.6">
      <c r="B58" s="3" t="s">
        <v>6</v>
      </c>
      <c r="C58" s="24"/>
      <c r="D58" s="49"/>
      <c r="E58" s="49"/>
    </row>
    <row r="59" spans="2:5" ht="31.2">
      <c r="B59" s="3">
        <f>B56+1</f>
        <v>15</v>
      </c>
      <c r="C59" s="24" t="s">
        <v>103</v>
      </c>
      <c r="D59" s="3">
        <v>2</v>
      </c>
      <c r="E59" s="3"/>
    </row>
    <row r="60" spans="2:5" ht="15.6">
      <c r="B60" s="3">
        <f t="shared" si="1"/>
        <v>16</v>
      </c>
      <c r="C60" s="24" t="s">
        <v>104</v>
      </c>
      <c r="D60" s="3">
        <v>2</v>
      </c>
      <c r="E60" s="3"/>
    </row>
    <row r="61" spans="2:5" ht="46.8">
      <c r="B61" s="3">
        <f t="shared" si="1"/>
        <v>17</v>
      </c>
      <c r="C61" s="24" t="s">
        <v>105</v>
      </c>
      <c r="D61" s="3">
        <v>2</v>
      </c>
      <c r="E61" s="3"/>
    </row>
    <row r="62" spans="2:5" ht="46.8">
      <c r="B62" s="3">
        <f t="shared" si="1"/>
        <v>18</v>
      </c>
      <c r="C62" s="24" t="s">
        <v>106</v>
      </c>
      <c r="D62" s="3">
        <v>3</v>
      </c>
      <c r="E62" s="3"/>
    </row>
    <row r="63" spans="2:5" ht="46.8">
      <c r="B63" s="3">
        <f t="shared" si="1"/>
        <v>19</v>
      </c>
      <c r="C63" s="24" t="s">
        <v>107</v>
      </c>
      <c r="D63" s="3">
        <v>3</v>
      </c>
      <c r="E63" s="3"/>
    </row>
    <row r="64" spans="2:5" ht="62.4">
      <c r="B64" s="3">
        <f t="shared" si="1"/>
        <v>20</v>
      </c>
      <c r="C64" s="24" t="s">
        <v>108</v>
      </c>
      <c r="D64" s="3">
        <v>3</v>
      </c>
      <c r="E64" s="3"/>
    </row>
    <row r="65" spans="2:5" ht="46.8">
      <c r="B65" s="3">
        <f t="shared" si="1"/>
        <v>21</v>
      </c>
      <c r="C65" s="24" t="s">
        <v>109</v>
      </c>
      <c r="D65" s="3">
        <v>3</v>
      </c>
      <c r="E65" s="3"/>
    </row>
    <row r="66" spans="2:5" ht="15.6">
      <c r="B66" s="3">
        <f t="shared" si="1"/>
        <v>22</v>
      </c>
      <c r="C66" s="23" t="s">
        <v>4</v>
      </c>
      <c r="D66" s="4" t="s">
        <v>6</v>
      </c>
      <c r="E66" s="4"/>
    </row>
    <row r="67" spans="2:5" ht="18.45" customHeight="1">
      <c r="B67" s="3">
        <f t="shared" si="1"/>
        <v>23</v>
      </c>
      <c r="C67" s="21" t="s">
        <v>110</v>
      </c>
      <c r="D67" s="3">
        <v>2</v>
      </c>
      <c r="E67" s="3"/>
    </row>
    <row r="68" spans="2:5">
      <c r="B68" s="3">
        <f t="shared" si="1"/>
        <v>24</v>
      </c>
      <c r="C68" s="25" t="s">
        <v>11</v>
      </c>
      <c r="D68" s="5"/>
      <c r="E68" s="5"/>
    </row>
    <row r="69" spans="2:5" ht="120.6">
      <c r="B69" s="3">
        <f t="shared" si="1"/>
        <v>25</v>
      </c>
      <c r="C69" s="26" t="s">
        <v>13</v>
      </c>
      <c r="D69" s="3">
        <v>3</v>
      </c>
      <c r="E69" s="3"/>
    </row>
    <row r="70" spans="2:5" ht="57.6">
      <c r="B70" s="3">
        <f t="shared" si="1"/>
        <v>26</v>
      </c>
      <c r="C70" s="26" t="s">
        <v>77</v>
      </c>
      <c r="D70" s="3">
        <v>3</v>
      </c>
      <c r="E70" s="3"/>
    </row>
    <row r="71" spans="2:5">
      <c r="B71" s="3" t="s">
        <v>6</v>
      </c>
      <c r="C71" s="26"/>
      <c r="D71" s="49"/>
      <c r="E71" s="49"/>
    </row>
    <row r="72" spans="2:5">
      <c r="B72" s="3" t="s">
        <v>6</v>
      </c>
      <c r="C72" s="26"/>
      <c r="D72" s="49"/>
      <c r="E72" s="49"/>
    </row>
    <row r="73" spans="2:5" ht="43.2">
      <c r="B73" s="3">
        <f>B70+1</f>
        <v>27</v>
      </c>
      <c r="C73" s="26" t="s">
        <v>76</v>
      </c>
      <c r="D73" s="3">
        <v>3</v>
      </c>
      <c r="E73" s="3"/>
    </row>
    <row r="74" spans="2:5" ht="46.5" customHeight="1">
      <c r="B74" s="3">
        <f t="shared" si="1"/>
        <v>28</v>
      </c>
      <c r="C74" s="26" t="s">
        <v>14</v>
      </c>
      <c r="D74" s="3">
        <v>3</v>
      </c>
      <c r="E74" s="3"/>
    </row>
    <row r="75" spans="2:5" ht="19.05" customHeight="1">
      <c r="B75" s="3" t="s">
        <v>6</v>
      </c>
      <c r="C75" s="26"/>
      <c r="D75" s="4"/>
      <c r="E75" s="4"/>
    </row>
    <row r="76" spans="2:5" ht="129.6">
      <c r="B76" s="3">
        <f>B74+1</f>
        <v>29</v>
      </c>
      <c r="C76" s="26" t="s">
        <v>15</v>
      </c>
      <c r="D76" s="3">
        <v>1</v>
      </c>
      <c r="E76" s="3"/>
    </row>
    <row r="77" spans="2:5">
      <c r="B77" s="3">
        <f t="shared" si="1"/>
        <v>30</v>
      </c>
      <c r="C77" s="27" t="s">
        <v>18</v>
      </c>
      <c r="D77" s="4"/>
      <c r="E77" s="4"/>
    </row>
    <row r="78" spans="2:5" ht="22.95" customHeight="1">
      <c r="B78" s="3">
        <f t="shared" si="1"/>
        <v>31</v>
      </c>
      <c r="C78" s="26" t="s">
        <v>19</v>
      </c>
      <c r="D78" s="3">
        <v>2</v>
      </c>
      <c r="E78" s="3"/>
    </row>
    <row r="79" spans="2:5">
      <c r="B79" s="3" t="s">
        <v>6</v>
      </c>
      <c r="C79" s="26"/>
      <c r="D79" s="5"/>
      <c r="E79" s="5"/>
    </row>
    <row r="80" spans="2:5">
      <c r="B80" s="3">
        <f>B78+1</f>
        <v>32</v>
      </c>
      <c r="C80" s="26" t="s">
        <v>20</v>
      </c>
      <c r="D80" s="6">
        <v>1</v>
      </c>
      <c r="E80" s="3"/>
    </row>
    <row r="81" spans="2:5" ht="28.8">
      <c r="B81" s="3">
        <f t="shared" si="1"/>
        <v>33</v>
      </c>
      <c r="C81" s="26" t="s">
        <v>21</v>
      </c>
      <c r="D81" s="3">
        <v>2</v>
      </c>
      <c r="E81" s="3"/>
    </row>
    <row r="82" spans="2:5" ht="28.8">
      <c r="B82" s="3">
        <f t="shared" si="1"/>
        <v>34</v>
      </c>
      <c r="C82" s="26" t="s">
        <v>22</v>
      </c>
      <c r="D82" s="3">
        <v>2</v>
      </c>
      <c r="E82" s="3"/>
    </row>
    <row r="83" spans="2:5" ht="28.8">
      <c r="B83" s="3">
        <f t="shared" si="1"/>
        <v>35</v>
      </c>
      <c r="C83" s="26" t="s">
        <v>23</v>
      </c>
      <c r="D83" s="3">
        <v>2</v>
      </c>
      <c r="E83" s="3"/>
    </row>
    <row r="84" spans="2:5" ht="32.4">
      <c r="B84" s="3">
        <f t="shared" si="1"/>
        <v>36</v>
      </c>
      <c r="C84" s="26" t="s">
        <v>69</v>
      </c>
      <c r="D84" s="3">
        <v>2</v>
      </c>
      <c r="E84" s="3"/>
    </row>
    <row r="85" spans="2:5">
      <c r="B85" s="3">
        <f t="shared" si="1"/>
        <v>37</v>
      </c>
      <c r="C85" s="28" t="s">
        <v>24</v>
      </c>
      <c r="D85" s="5"/>
      <c r="E85" s="5"/>
    </row>
    <row r="86" spans="2:5" ht="28.8">
      <c r="B86" s="3">
        <f t="shared" si="1"/>
        <v>38</v>
      </c>
      <c r="C86" s="26" t="s">
        <v>25</v>
      </c>
      <c r="D86" s="3">
        <v>3</v>
      </c>
      <c r="E86" s="3"/>
    </row>
    <row r="87" spans="2:5" ht="43.2">
      <c r="B87" s="3">
        <f t="shared" si="1"/>
        <v>39</v>
      </c>
      <c r="C87" s="26" t="s">
        <v>72</v>
      </c>
      <c r="D87" s="3">
        <v>3</v>
      </c>
      <c r="E87" s="3"/>
    </row>
    <row r="88" spans="2:5" ht="28.8">
      <c r="B88" s="3">
        <f t="shared" si="1"/>
        <v>40</v>
      </c>
      <c r="C88" s="26" t="s">
        <v>26</v>
      </c>
      <c r="D88" s="3">
        <v>3</v>
      </c>
      <c r="E88" s="3"/>
    </row>
    <row r="89" spans="2:5" ht="72">
      <c r="B89" s="3">
        <f t="shared" si="1"/>
        <v>41</v>
      </c>
      <c r="C89" s="26" t="s">
        <v>27</v>
      </c>
      <c r="D89" s="3">
        <v>3</v>
      </c>
      <c r="E89" s="3"/>
    </row>
    <row r="90" spans="2:5" ht="167.4">
      <c r="B90" s="3">
        <f t="shared" si="1"/>
        <v>42</v>
      </c>
      <c r="C90" s="26" t="s">
        <v>28</v>
      </c>
      <c r="D90" s="3">
        <v>4</v>
      </c>
      <c r="E90" s="3"/>
    </row>
    <row r="91" spans="2:5" ht="57.6">
      <c r="B91" s="3">
        <f t="shared" si="1"/>
        <v>43</v>
      </c>
      <c r="C91" s="26" t="s">
        <v>32</v>
      </c>
      <c r="D91" s="3">
        <v>3</v>
      </c>
      <c r="E91" s="3"/>
    </row>
    <row r="92" spans="2:5">
      <c r="B92" s="3">
        <f t="shared" si="1"/>
        <v>44</v>
      </c>
      <c r="C92" s="28" t="s">
        <v>29</v>
      </c>
      <c r="D92" s="5"/>
      <c r="E92" s="5"/>
    </row>
    <row r="93" spans="2:5">
      <c r="B93" s="3">
        <f t="shared" si="1"/>
        <v>45</v>
      </c>
      <c r="C93" s="26" t="s">
        <v>30</v>
      </c>
      <c r="D93" s="3">
        <v>2</v>
      </c>
      <c r="E93" s="3"/>
    </row>
    <row r="94" spans="2:5">
      <c r="B94" s="3">
        <f t="shared" si="1"/>
        <v>46</v>
      </c>
      <c r="C94" s="29" t="s">
        <v>31</v>
      </c>
      <c r="D94" s="3">
        <v>2</v>
      </c>
      <c r="E94" s="3"/>
    </row>
    <row r="95" spans="2:5" ht="30.6">
      <c r="B95" s="3">
        <f t="shared" si="1"/>
        <v>47</v>
      </c>
      <c r="C95" s="26" t="s">
        <v>33</v>
      </c>
      <c r="D95" s="3">
        <v>2</v>
      </c>
      <c r="E95" s="3"/>
    </row>
    <row r="96" spans="2:5" ht="75.599999999999994">
      <c r="B96" s="3">
        <f t="shared" si="1"/>
        <v>48</v>
      </c>
      <c r="C96" s="26" t="s">
        <v>34</v>
      </c>
      <c r="D96" s="3">
        <v>3</v>
      </c>
      <c r="E96" s="3"/>
    </row>
    <row r="97" spans="2:6" ht="43.2">
      <c r="B97" s="3">
        <f t="shared" si="1"/>
        <v>49</v>
      </c>
      <c r="C97" s="26" t="s">
        <v>70</v>
      </c>
      <c r="D97" s="3">
        <v>5</v>
      </c>
      <c r="E97" s="3"/>
    </row>
    <row r="98" spans="2:6">
      <c r="B98" s="3"/>
      <c r="C98" s="30" t="s">
        <v>0</v>
      </c>
      <c r="D98" s="49"/>
      <c r="E98" s="49"/>
    </row>
    <row r="99" spans="2:6">
      <c r="B99" s="3"/>
      <c r="C99" s="30" t="s">
        <v>35</v>
      </c>
      <c r="D99" s="49"/>
      <c r="E99" s="49"/>
    </row>
    <row r="100" spans="2:6">
      <c r="B100" s="3"/>
      <c r="C100" s="30" t="s">
        <v>1</v>
      </c>
      <c r="D100" s="49"/>
      <c r="E100" s="49"/>
    </row>
    <row r="101" spans="2:6">
      <c r="C101" s="8"/>
      <c r="D101" s="9"/>
      <c r="E101" s="4"/>
    </row>
    <row r="102" spans="2:6" ht="23.4">
      <c r="C102" s="7" t="s">
        <v>79</v>
      </c>
      <c r="D102" s="18">
        <f>SUM(D44:D97)</f>
        <v>100</v>
      </c>
      <c r="E102" s="18">
        <f>SUM(E43:E97)</f>
        <v>-10</v>
      </c>
      <c r="F102" s="10" t="s">
        <v>80</v>
      </c>
    </row>
    <row r="103" spans="2:6">
      <c r="C103" s="8"/>
      <c r="D103" s="11"/>
      <c r="E103" s="11"/>
    </row>
    <row r="104" spans="2:6" ht="36">
      <c r="B104" s="47">
        <f>50</f>
        <v>50</v>
      </c>
      <c r="C104" s="31" t="s">
        <v>111</v>
      </c>
      <c r="D104" s="2"/>
      <c r="E104" s="2"/>
    </row>
    <row r="105" spans="2:6" ht="18">
      <c r="B105" s="47" t="s">
        <v>6</v>
      </c>
      <c r="C105" s="31"/>
      <c r="D105" s="2"/>
      <c r="E105" s="2"/>
    </row>
    <row r="106" spans="2:6" ht="18">
      <c r="B106" s="47" t="s">
        <v>6</v>
      </c>
      <c r="C106" s="31"/>
      <c r="D106" s="2"/>
      <c r="E106" s="2"/>
    </row>
    <row r="107" spans="2:6" ht="18">
      <c r="B107" s="47" t="s">
        <v>6</v>
      </c>
      <c r="C107" s="31"/>
      <c r="D107" s="2"/>
      <c r="E107" s="2"/>
    </row>
    <row r="108" spans="2:6">
      <c r="B108" s="47">
        <f>B104+1</f>
        <v>51</v>
      </c>
      <c r="C108" s="32" t="s">
        <v>41</v>
      </c>
      <c r="D108" s="2"/>
      <c r="E108" s="2"/>
    </row>
    <row r="109" spans="2:6" ht="28.8">
      <c r="B109" s="47">
        <f t="shared" ref="B109:B168" si="2">B108+1</f>
        <v>52</v>
      </c>
      <c r="C109" s="33" t="s">
        <v>46</v>
      </c>
      <c r="D109" s="4"/>
      <c r="E109" s="3">
        <v>-2</v>
      </c>
      <c r="F109" t="s">
        <v>128</v>
      </c>
    </row>
    <row r="110" spans="2:6" ht="28.8">
      <c r="B110" s="47">
        <f t="shared" si="2"/>
        <v>53</v>
      </c>
      <c r="C110" s="33" t="s">
        <v>36</v>
      </c>
      <c r="D110" s="4"/>
      <c r="E110" s="3">
        <v>-2</v>
      </c>
      <c r="F110" t="s">
        <v>128</v>
      </c>
    </row>
    <row r="111" spans="2:6" ht="28.8">
      <c r="B111" s="47">
        <f t="shared" si="2"/>
        <v>54</v>
      </c>
      <c r="C111" s="33" t="s">
        <v>37</v>
      </c>
      <c r="D111" s="4"/>
      <c r="E111" s="3">
        <v>-2</v>
      </c>
      <c r="F111" t="s">
        <v>131</v>
      </c>
    </row>
    <row r="112" spans="2:6" ht="28.8">
      <c r="B112" s="47">
        <f t="shared" si="2"/>
        <v>55</v>
      </c>
      <c r="C112" s="33" t="s">
        <v>38</v>
      </c>
      <c r="D112" s="4"/>
      <c r="E112" s="3">
        <v>-2</v>
      </c>
      <c r="F112" t="s">
        <v>132</v>
      </c>
    </row>
    <row r="113" spans="2:6">
      <c r="B113" s="47">
        <f t="shared" si="2"/>
        <v>56</v>
      </c>
      <c r="C113" s="34" t="s">
        <v>39</v>
      </c>
      <c r="D113" s="4"/>
      <c r="E113" s="3">
        <v>-2</v>
      </c>
      <c r="F113" t="s">
        <v>132</v>
      </c>
    </row>
    <row r="114" spans="2:6" ht="28.8">
      <c r="B114" s="47">
        <f t="shared" si="2"/>
        <v>57</v>
      </c>
      <c r="C114" s="33" t="s">
        <v>40</v>
      </c>
      <c r="D114" s="4"/>
      <c r="E114" s="3">
        <v>-2</v>
      </c>
      <c r="F114" t="s">
        <v>133</v>
      </c>
    </row>
    <row r="115" spans="2:6" ht="28.8">
      <c r="B115" s="47">
        <f t="shared" si="2"/>
        <v>58</v>
      </c>
      <c r="C115" s="35" t="s">
        <v>83</v>
      </c>
      <c r="D115" s="4"/>
      <c r="E115" s="3">
        <v>-2</v>
      </c>
      <c r="F115" t="s">
        <v>128</v>
      </c>
    </row>
    <row r="116" spans="2:6">
      <c r="B116" s="47" t="s">
        <v>6</v>
      </c>
      <c r="C116" s="1"/>
      <c r="D116" s="4"/>
      <c r="E116" s="4"/>
    </row>
    <row r="117" spans="2:6" ht="28.8">
      <c r="B117" s="47">
        <f>B115+1</f>
        <v>59</v>
      </c>
      <c r="C117" s="35" t="s">
        <v>112</v>
      </c>
      <c r="D117" s="4"/>
      <c r="E117" s="3">
        <v>-2</v>
      </c>
      <c r="F117" t="s">
        <v>134</v>
      </c>
    </row>
    <row r="118" spans="2:6">
      <c r="B118" s="47" t="s">
        <v>6</v>
      </c>
      <c r="C118" s="1"/>
      <c r="D118" s="4"/>
      <c r="E118" s="4"/>
    </row>
    <row r="119" spans="2:6">
      <c r="B119" s="47">
        <f>B117+1</f>
        <v>60</v>
      </c>
      <c r="C119" s="1" t="s">
        <v>113</v>
      </c>
      <c r="D119" s="4"/>
      <c r="E119" s="3">
        <v>-2</v>
      </c>
      <c r="F119" t="s">
        <v>134</v>
      </c>
    </row>
    <row r="120" spans="2:6">
      <c r="B120" s="47" t="s">
        <v>6</v>
      </c>
      <c r="C120" s="1"/>
      <c r="D120" s="4"/>
      <c r="E120" s="4"/>
    </row>
    <row r="121" spans="2:6">
      <c r="B121" s="47">
        <f>B119+1</f>
        <v>61</v>
      </c>
      <c r="C121" s="1" t="s">
        <v>114</v>
      </c>
      <c r="D121" s="4"/>
      <c r="E121" s="3">
        <v>-2</v>
      </c>
    </row>
    <row r="122" spans="2:6">
      <c r="B122" s="47" t="s">
        <v>6</v>
      </c>
      <c r="C122" s="1"/>
      <c r="D122" s="4"/>
      <c r="E122" s="4"/>
    </row>
    <row r="123" spans="2:6">
      <c r="B123" s="47">
        <f>B121+1</f>
        <v>62</v>
      </c>
      <c r="C123" s="1" t="s">
        <v>47</v>
      </c>
      <c r="D123" s="4"/>
      <c r="E123" s="3">
        <v>-2</v>
      </c>
      <c r="F123" t="s">
        <v>135</v>
      </c>
    </row>
    <row r="124" spans="2:6" ht="28.8">
      <c r="B124" s="47">
        <f t="shared" si="2"/>
        <v>63</v>
      </c>
      <c r="C124" s="35" t="s">
        <v>115</v>
      </c>
      <c r="D124" s="4"/>
      <c r="E124" s="3">
        <v>-2</v>
      </c>
      <c r="F124" t="s">
        <v>134</v>
      </c>
    </row>
    <row r="125" spans="2:6">
      <c r="B125" s="47" t="s">
        <v>6</v>
      </c>
      <c r="C125" s="1"/>
      <c r="D125" s="4"/>
      <c r="E125" s="4"/>
    </row>
    <row r="126" spans="2:6">
      <c r="B126" s="47">
        <f>B124+1</f>
        <v>64</v>
      </c>
      <c r="C126" s="1" t="s">
        <v>44</v>
      </c>
      <c r="D126" s="4"/>
      <c r="E126" s="4"/>
    </row>
    <row r="127" spans="2:6">
      <c r="B127" s="47"/>
      <c r="C127" s="1"/>
      <c r="D127" s="49"/>
      <c r="E127" s="50">
        <v>-4</v>
      </c>
    </row>
    <row r="128" spans="2:6">
      <c r="B128" s="47"/>
      <c r="C128" s="1"/>
      <c r="D128" s="49"/>
      <c r="E128" s="50"/>
      <c r="F128" t="s">
        <v>136</v>
      </c>
    </row>
    <row r="129" spans="2:6">
      <c r="B129" s="47"/>
      <c r="C129" s="1"/>
      <c r="D129" s="49"/>
      <c r="E129" s="50"/>
    </row>
    <row r="130" spans="2:6">
      <c r="B130" s="47"/>
      <c r="C130" s="1"/>
      <c r="D130" s="49"/>
      <c r="E130" s="50"/>
    </row>
    <row r="131" spans="2:6">
      <c r="B131" s="47"/>
      <c r="C131" s="1"/>
      <c r="D131" s="49"/>
      <c r="E131" s="50"/>
    </row>
    <row r="132" spans="2:6">
      <c r="B132" s="47"/>
      <c r="C132" s="1"/>
      <c r="D132" s="49"/>
      <c r="E132" s="50"/>
    </row>
    <row r="133" spans="2:6">
      <c r="B133" s="47">
        <f>B126+1</f>
        <v>65</v>
      </c>
      <c r="C133" s="36" t="s">
        <v>43</v>
      </c>
      <c r="D133" s="4"/>
      <c r="E133" s="4"/>
    </row>
    <row r="134" spans="2:6">
      <c r="B134" s="47"/>
      <c r="C134" s="1"/>
      <c r="D134" s="49"/>
      <c r="E134" s="50">
        <v>-4</v>
      </c>
      <c r="F134" t="s">
        <v>137</v>
      </c>
    </row>
    <row r="135" spans="2:6">
      <c r="B135" s="47"/>
      <c r="C135" s="1"/>
      <c r="D135" s="49"/>
      <c r="E135" s="50"/>
    </row>
    <row r="136" spans="2:6">
      <c r="B136" s="47"/>
      <c r="C136" s="1"/>
      <c r="D136" s="49"/>
      <c r="E136" s="50"/>
    </row>
    <row r="137" spans="2:6">
      <c r="B137" s="47"/>
      <c r="C137" s="1"/>
      <c r="D137" s="49"/>
      <c r="E137" s="50"/>
    </row>
    <row r="138" spans="2:6">
      <c r="B138" s="47">
        <f>B133+1</f>
        <v>66</v>
      </c>
      <c r="C138" s="1" t="s">
        <v>116</v>
      </c>
      <c r="D138" s="4"/>
      <c r="E138" s="4"/>
    </row>
    <row r="139" spans="2:6">
      <c r="B139" s="47"/>
      <c r="C139" s="1"/>
      <c r="D139" s="49"/>
      <c r="E139" s="50">
        <v>-2</v>
      </c>
      <c r="F139" t="s">
        <v>138</v>
      </c>
    </row>
    <row r="140" spans="2:6">
      <c r="B140" s="47"/>
      <c r="C140" s="1"/>
      <c r="D140" s="49"/>
      <c r="E140" s="50"/>
    </row>
    <row r="141" spans="2:6" ht="48.6">
      <c r="B141" s="47">
        <f>B138+1</f>
        <v>67</v>
      </c>
      <c r="C141" s="35" t="s">
        <v>48</v>
      </c>
      <c r="D141" s="4"/>
      <c r="E141" s="3">
        <v>-6</v>
      </c>
      <c r="F141" t="s">
        <v>139</v>
      </c>
    </row>
    <row r="142" spans="2:6">
      <c r="B142" s="47"/>
      <c r="C142" s="1"/>
      <c r="D142" s="4"/>
      <c r="E142" s="4"/>
    </row>
    <row r="143" spans="2:6">
      <c r="B143" s="47"/>
      <c r="C143" s="1"/>
      <c r="D143" s="4"/>
      <c r="E143" s="4"/>
    </row>
    <row r="144" spans="2:6">
      <c r="B144" s="47"/>
      <c r="C144" s="1"/>
      <c r="D144" s="4"/>
      <c r="E144" s="4"/>
    </row>
    <row r="145" spans="2:6">
      <c r="B145" s="47">
        <f>B141+1</f>
        <v>68</v>
      </c>
      <c r="C145" s="1" t="s">
        <v>49</v>
      </c>
      <c r="D145" s="4"/>
      <c r="E145" s="3">
        <v>-2</v>
      </c>
      <c r="F145" t="s">
        <v>128</v>
      </c>
    </row>
    <row r="146" spans="2:6" ht="28.8">
      <c r="B146" s="47">
        <f t="shared" si="2"/>
        <v>69</v>
      </c>
      <c r="C146" s="35" t="s">
        <v>50</v>
      </c>
      <c r="D146" s="4"/>
      <c r="E146" s="3">
        <v>-2</v>
      </c>
      <c r="F146" t="s">
        <v>130</v>
      </c>
    </row>
    <row r="147" spans="2:6" ht="28.8">
      <c r="B147" s="47">
        <f t="shared" si="2"/>
        <v>70</v>
      </c>
      <c r="C147" s="35" t="s">
        <v>51</v>
      </c>
      <c r="D147" s="4"/>
      <c r="E147" s="3">
        <v>-2</v>
      </c>
      <c r="F147" t="s">
        <v>130</v>
      </c>
    </row>
    <row r="148" spans="2:6">
      <c r="B148" s="47">
        <f t="shared" si="2"/>
        <v>71</v>
      </c>
      <c r="C148" s="36" t="s">
        <v>45</v>
      </c>
      <c r="D148" s="4"/>
      <c r="E148" s="4"/>
    </row>
    <row r="149" spans="2:6" ht="43.2">
      <c r="B149" s="47">
        <f t="shared" si="2"/>
        <v>72</v>
      </c>
      <c r="C149" s="37" t="s">
        <v>52</v>
      </c>
      <c r="D149" s="4"/>
      <c r="E149" s="3">
        <v>-2</v>
      </c>
      <c r="F149" t="s">
        <v>130</v>
      </c>
    </row>
    <row r="150" spans="2:6">
      <c r="B150" s="47">
        <f t="shared" si="2"/>
        <v>73</v>
      </c>
      <c r="C150" s="37" t="s">
        <v>53</v>
      </c>
      <c r="D150" s="4"/>
      <c r="E150" s="3">
        <v>-2</v>
      </c>
      <c r="F150" t="s">
        <v>130</v>
      </c>
    </row>
    <row r="151" spans="2:6">
      <c r="B151" s="47">
        <f t="shared" si="2"/>
        <v>74</v>
      </c>
      <c r="C151" s="37" t="s">
        <v>54</v>
      </c>
      <c r="D151" s="4"/>
      <c r="E151" s="3">
        <v>-2</v>
      </c>
      <c r="F151" t="s">
        <v>130</v>
      </c>
    </row>
    <row r="152" spans="2:6">
      <c r="B152" s="47">
        <f t="shared" si="2"/>
        <v>75</v>
      </c>
      <c r="C152" s="38" t="s">
        <v>55</v>
      </c>
      <c r="D152" s="4"/>
      <c r="E152" s="3">
        <v>-2</v>
      </c>
      <c r="F152" t="s">
        <v>130</v>
      </c>
    </row>
    <row r="153" spans="2:6">
      <c r="B153" s="47">
        <f t="shared" si="2"/>
        <v>76</v>
      </c>
      <c r="C153" s="38" t="s">
        <v>56</v>
      </c>
      <c r="D153" s="4"/>
      <c r="E153" s="3">
        <v>-2</v>
      </c>
      <c r="F153" t="s">
        <v>130</v>
      </c>
    </row>
    <row r="154" spans="2:6">
      <c r="B154" s="47">
        <f t="shared" si="2"/>
        <v>77</v>
      </c>
      <c r="C154" s="37" t="s">
        <v>57</v>
      </c>
      <c r="D154" s="4"/>
      <c r="E154" s="3">
        <v>-2</v>
      </c>
      <c r="F154" t="s">
        <v>130</v>
      </c>
    </row>
    <row r="155" spans="2:6" ht="86.4">
      <c r="B155" s="47">
        <f t="shared" si="2"/>
        <v>78</v>
      </c>
      <c r="C155" s="37" t="s">
        <v>58</v>
      </c>
      <c r="D155" s="4"/>
      <c r="E155" s="3">
        <v>-4</v>
      </c>
      <c r="F155" t="s">
        <v>130</v>
      </c>
    </row>
    <row r="156" spans="2:6">
      <c r="B156" s="47">
        <f t="shared" si="2"/>
        <v>79</v>
      </c>
      <c r="C156" s="37" t="s">
        <v>59</v>
      </c>
      <c r="D156" s="4"/>
      <c r="E156" s="3">
        <v>-2</v>
      </c>
      <c r="F156" t="s">
        <v>130</v>
      </c>
    </row>
    <row r="157" spans="2:6">
      <c r="B157" s="47">
        <f t="shared" si="2"/>
        <v>80</v>
      </c>
      <c r="C157" s="39" t="s">
        <v>117</v>
      </c>
      <c r="D157" s="4"/>
      <c r="E157" s="3">
        <v>-2</v>
      </c>
      <c r="F157" t="s">
        <v>130</v>
      </c>
    </row>
    <row r="158" spans="2:6" ht="28.8">
      <c r="B158" s="47">
        <f t="shared" si="2"/>
        <v>81</v>
      </c>
      <c r="C158" s="37" t="s">
        <v>60</v>
      </c>
      <c r="D158" s="4"/>
      <c r="E158" s="3">
        <v>-4</v>
      </c>
      <c r="F158" t="s">
        <v>130</v>
      </c>
    </row>
    <row r="159" spans="2:6" ht="28.8">
      <c r="B159" s="47">
        <f t="shared" si="2"/>
        <v>82</v>
      </c>
      <c r="C159" s="37" t="s">
        <v>61</v>
      </c>
      <c r="D159" s="4"/>
      <c r="E159" s="3">
        <v>-2</v>
      </c>
      <c r="F159" t="s">
        <v>130</v>
      </c>
    </row>
    <row r="160" spans="2:6" ht="86.4">
      <c r="B160" s="47">
        <f t="shared" si="2"/>
        <v>83</v>
      </c>
      <c r="C160" s="39" t="s">
        <v>62</v>
      </c>
      <c r="D160" s="4"/>
      <c r="E160" s="3">
        <v>-4</v>
      </c>
      <c r="F160" t="s">
        <v>130</v>
      </c>
    </row>
    <row r="161" spans="2:6">
      <c r="B161" s="47">
        <f t="shared" si="2"/>
        <v>84</v>
      </c>
      <c r="C161" s="37" t="s">
        <v>63</v>
      </c>
      <c r="D161" s="4"/>
      <c r="E161" s="3">
        <v>-4</v>
      </c>
      <c r="F161" t="s">
        <v>130</v>
      </c>
    </row>
    <row r="162" spans="2:6" ht="57.6">
      <c r="B162" s="47">
        <f t="shared" si="2"/>
        <v>85</v>
      </c>
      <c r="C162" s="37" t="s">
        <v>64</v>
      </c>
      <c r="D162" s="4"/>
      <c r="E162" s="3">
        <v>-4</v>
      </c>
      <c r="F162" t="s">
        <v>130</v>
      </c>
    </row>
    <row r="163" spans="2:6" ht="28.8">
      <c r="B163" s="47">
        <f t="shared" si="2"/>
        <v>86</v>
      </c>
      <c r="C163" s="37" t="s">
        <v>118</v>
      </c>
      <c r="D163" s="4"/>
      <c r="E163" s="3">
        <v>-2</v>
      </c>
      <c r="F163" t="s">
        <v>130</v>
      </c>
    </row>
    <row r="164" spans="2:6" ht="28.8">
      <c r="B164" s="47">
        <f t="shared" si="2"/>
        <v>87</v>
      </c>
      <c r="C164" s="37" t="s">
        <v>65</v>
      </c>
      <c r="D164" s="4"/>
      <c r="E164" s="3">
        <v>-2</v>
      </c>
      <c r="F164" t="s">
        <v>130</v>
      </c>
    </row>
    <row r="165" spans="2:6" ht="57.6">
      <c r="B165" s="47">
        <f t="shared" si="2"/>
        <v>88</v>
      </c>
      <c r="C165" s="37" t="s">
        <v>66</v>
      </c>
      <c r="D165" s="4"/>
      <c r="E165" s="3">
        <v>-4</v>
      </c>
      <c r="F165" t="s">
        <v>130</v>
      </c>
    </row>
    <row r="166" spans="2:6">
      <c r="B166" s="47">
        <f t="shared" si="2"/>
        <v>89</v>
      </c>
      <c r="C166" s="37" t="s">
        <v>67</v>
      </c>
      <c r="D166" s="4"/>
      <c r="E166" s="3">
        <v>-2</v>
      </c>
      <c r="F166" t="s">
        <v>130</v>
      </c>
    </row>
    <row r="167" spans="2:6" ht="72">
      <c r="B167" s="47">
        <f t="shared" si="2"/>
        <v>90</v>
      </c>
      <c r="C167" s="37" t="s">
        <v>68</v>
      </c>
      <c r="D167" s="4"/>
      <c r="E167" s="3">
        <v>-6</v>
      </c>
      <c r="F167" t="s">
        <v>130</v>
      </c>
    </row>
    <row r="168" spans="2:6" ht="28.8">
      <c r="B168" s="47">
        <f t="shared" si="2"/>
        <v>91</v>
      </c>
      <c r="C168" s="42" t="s">
        <v>92</v>
      </c>
      <c r="D168" s="4"/>
      <c r="E168" s="3">
        <v>-2</v>
      </c>
      <c r="F168" t="s">
        <v>130</v>
      </c>
    </row>
    <row r="169" spans="2:6" ht="23.4">
      <c r="C169" s="1"/>
      <c r="D169" s="1"/>
      <c r="E169" s="18">
        <f>SUM(E109:E168)</f>
        <v>-102</v>
      </c>
      <c r="F169" s="10" t="s">
        <v>81</v>
      </c>
    </row>
    <row r="174" spans="2:6" ht="23.4">
      <c r="C174" s="7" t="s">
        <v>82</v>
      </c>
    </row>
    <row r="175" spans="2:6" ht="23.4">
      <c r="C175" s="7" t="s">
        <v>124</v>
      </c>
      <c r="D175" s="7">
        <f>E102</f>
        <v>-10</v>
      </c>
    </row>
    <row r="176" spans="2:6" ht="23.4">
      <c r="C176" s="7" t="s">
        <v>125</v>
      </c>
      <c r="D176" s="7">
        <f>E169</f>
        <v>-102</v>
      </c>
    </row>
    <row r="177" spans="3:4" ht="23.4">
      <c r="C177" s="16" t="s">
        <v>78</v>
      </c>
      <c r="D177" s="17">
        <f>SUM(D175:D176)</f>
        <v>-112</v>
      </c>
    </row>
  </sheetData>
  <mergeCells count="12">
    <mergeCell ref="D57:D58"/>
    <mergeCell ref="E57:E58"/>
    <mergeCell ref="D98:D100"/>
    <mergeCell ref="E98:E100"/>
    <mergeCell ref="D71:D72"/>
    <mergeCell ref="E71:E72"/>
    <mergeCell ref="D127:D132"/>
    <mergeCell ref="D134:D137"/>
    <mergeCell ref="D139:D140"/>
    <mergeCell ref="E127:E132"/>
    <mergeCell ref="E134:E137"/>
    <mergeCell ref="E139:E140"/>
  </mergeCells>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GEORGINA SALAZAR PARTIDA</dc:creator>
  <cp:lastModifiedBy>Manuel Frías</cp:lastModifiedBy>
  <dcterms:created xsi:type="dcterms:W3CDTF">2025-11-17T22:09:35Z</dcterms:created>
  <dcterms:modified xsi:type="dcterms:W3CDTF">2025-12-06T06:42:53Z</dcterms:modified>
</cp:coreProperties>
</file>